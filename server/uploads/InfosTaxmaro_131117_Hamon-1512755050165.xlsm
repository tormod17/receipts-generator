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flori\Desktop\"/>
    </mc:Choice>
  </mc:AlternateContent>
  <bookViews>
    <workbookView xWindow="0" yWindow="0" windowWidth="20490" windowHeight="5730" activeTab="1" xr2:uid="{00000000-000D-0000-FFFF-FFFF00000000}"/>
  </bookViews>
  <sheets>
    <sheet name="Steuersheet" sheetId="2" r:id="rId1"/>
    <sheet name="Buchungen &amp; Einkünfte" sheetId="1" r:id="rId2"/>
  </sheets>
  <definedNames>
    <definedName name="_xlnm._FilterDatabase" localSheetId="1" hidden="1">'Buchungen &amp; Einkünfte'!$A$1:$AB$326</definedName>
  </definedNam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2" i="1"/>
</calcChain>
</file>

<file path=xl/sharedStrings.xml><?xml version="1.0" encoding="utf-8"?>
<sst xmlns="http://schemas.openxmlformats.org/spreadsheetml/2006/main" count="4097" uniqueCount="1136">
  <si>
    <t>LISTING'S CITY</t>
  </si>
  <si>
    <t>LISTING'S NICKNAME</t>
  </si>
  <si>
    <t>GUEST'S NAME</t>
  </si>
  <si>
    <t>CHECK IN</t>
  </si>
  <si>
    <t>CHECK OUT</t>
  </si>
  <si>
    <t>TOTAL PAID</t>
  </si>
  <si>
    <t>CLEANING FARE</t>
  </si>
  <si>
    <t>BALANCE DUE</t>
  </si>
  <si>
    <t>CONFIRMATION CODE</t>
  </si>
  <si>
    <t>Frankfurt am Main</t>
  </si>
  <si>
    <t>Anja von Heesen</t>
  </si>
  <si>
    <t>MÃ¼nchen</t>
  </si>
  <si>
    <t>Hamburg</t>
  </si>
  <si>
    <t>Nicolette Scharp</t>
  </si>
  <si>
    <t>Manuel Jung</t>
  </si>
  <si>
    <t>DÃ¼sseldorf</t>
  </si>
  <si>
    <t>Oliver Bongartz Suit</t>
  </si>
  <si>
    <t>Yakup Erdal 1.OG</t>
  </si>
  <si>
    <t>Berlin</t>
  </si>
  <si>
    <t>Ines BrÃ¼nn</t>
  </si>
  <si>
    <t>Gadela Prabhanjan</t>
  </si>
  <si>
    <t>Ralf KÃ¶nnecke</t>
  </si>
  <si>
    <t>Julian Ritter</t>
  </si>
  <si>
    <t>Dr. Philippe Mette</t>
  </si>
  <si>
    <t>Lorenz Neff</t>
  </si>
  <si>
    <t>Yakup Erdal 2.OG</t>
  </si>
  <si>
    <t>Stephanos Karagianni</t>
  </si>
  <si>
    <t>Michael Bilger</t>
  </si>
  <si>
    <t>Daniel Sander</t>
  </si>
  <si>
    <t>Kay Schneutzer</t>
  </si>
  <si>
    <t>Zeno Lobe</t>
  </si>
  <si>
    <t>Cologne</t>
  </si>
  <si>
    <t>Olaf Maack 2</t>
  </si>
  <si>
    <t>Jannette Flores</t>
  </si>
  <si>
    <t>John Berrie Dyke</t>
  </si>
  <si>
    <t>Karin Fuhrberg</t>
  </si>
  <si>
    <t>Rosa Landwehr</t>
  </si>
  <si>
    <t>Oliver Bongartz Loft</t>
  </si>
  <si>
    <t>KÃ¶ln</t>
  </si>
  <si>
    <t>Olaf Maack 1</t>
  </si>
  <si>
    <t>Julia LÃ¶hmar</t>
  </si>
  <si>
    <t>Marc Heinsen</t>
  </si>
  <si>
    <t>Benjamin Heisch</t>
  </si>
  <si>
    <t>Mareike Pilartz</t>
  </si>
  <si>
    <t>Tilman Stasch</t>
  </si>
  <si>
    <t>Bart .</t>
  </si>
  <si>
    <t>Thorben Grosser</t>
  </si>
  <si>
    <t>Tunc SahingÃ¶z</t>
  </si>
  <si>
    <t>Jens Naumann</t>
  </si>
  <si>
    <t>GÃ¼nter Kraft</t>
  </si>
  <si>
    <t>Wertheim Team</t>
  </si>
  <si>
    <t>Julia StÃ¼binger</t>
  </si>
  <si>
    <t>Martin Kiener JÃ¼lich</t>
  </si>
  <si>
    <t>David KÃ¼pper</t>
  </si>
  <si>
    <t>Jeremias Hehn NEU</t>
  </si>
  <si>
    <t>Julia Fiedler</t>
  </si>
  <si>
    <t>Tina Renger</t>
  </si>
  <si>
    <t>Marc Seeger</t>
  </si>
  <si>
    <t>Erika Sprandel NEU</t>
  </si>
  <si>
    <t>Philipp Pierow</t>
  </si>
  <si>
    <t>Nadine Bessler</t>
  </si>
  <si>
    <t>Fabian Amberger</t>
  </si>
  <si>
    <t>Kaja Kuhl</t>
  </si>
  <si>
    <t>Puschmann (gross)</t>
  </si>
  <si>
    <t>Sven Grohsnick</t>
  </si>
  <si>
    <t>Lisa Lietz</t>
  </si>
  <si>
    <t>Christian Miessner</t>
  </si>
  <si>
    <t>Richard Lepiarczyk</t>
  </si>
  <si>
    <t>Marc AndrÃ© Sanden</t>
  </si>
  <si>
    <t>Stephan Temin (Yild)</t>
  </si>
  <si>
    <t>Romina Stockmann</t>
  </si>
  <si>
    <t>Jule Sauter</t>
  </si>
  <si>
    <t>Lars KlingelhÃ¶fer gr</t>
  </si>
  <si>
    <t>David Grenda</t>
  </si>
  <si>
    <t>Jan-Philipp Martini</t>
  </si>
  <si>
    <t>Elena Sadkov</t>
  </si>
  <si>
    <t>Mara Carro</t>
  </si>
  <si>
    <t>Lena Schneider</t>
  </si>
  <si>
    <t>Bilo Lotze</t>
  </si>
  <si>
    <t>Airbnb Einkommen</t>
  </si>
  <si>
    <t>Reinigungs-gebühr</t>
  </si>
  <si>
    <t>Service Fee (%)</t>
  </si>
  <si>
    <t>Airgreets Service Fee (€)</t>
  </si>
  <si>
    <t>Davon UST.</t>
  </si>
  <si>
    <t>Gesamtumsatz Airgreets</t>
  </si>
  <si>
    <t>Kunden-nummer</t>
  </si>
  <si>
    <t>Auszahlung an Kunde</t>
  </si>
  <si>
    <t>Stadt</t>
  </si>
  <si>
    <t>Kunde</t>
  </si>
  <si>
    <t>Rechnungs-datum</t>
  </si>
  <si>
    <t>Sonstige Leistungsbeschreibung</t>
  </si>
  <si>
    <t>Auszahlung</t>
  </si>
  <si>
    <t>Rechnungskorrektur</t>
  </si>
  <si>
    <t>Straße</t>
  </si>
  <si>
    <t>PLZ</t>
  </si>
  <si>
    <t>Emailadresse</t>
  </si>
  <si>
    <t>Rechnung</t>
  </si>
  <si>
    <t>Auszhalungskorrektur</t>
  </si>
  <si>
    <t>Rechnungsempfänger</t>
  </si>
  <si>
    <t>Name des Gastes</t>
  </si>
  <si>
    <t>Anreisedatum</t>
  </si>
  <si>
    <t>Abreisedatum</t>
  </si>
  <si>
    <t>Rechnungskorrektur in €</t>
  </si>
  <si>
    <t>Auszahlungskorrektur in €</t>
  </si>
  <si>
    <t>Ust-Korrektur</t>
  </si>
  <si>
    <t>Monika Kessler</t>
  </si>
  <si>
    <t>Richard Miller</t>
  </si>
  <si>
    <t>HMSWP4YXB4</t>
  </si>
  <si>
    <t>Anke Moenning</t>
  </si>
  <si>
    <t>Oleksandr Linkevych</t>
  </si>
  <si>
    <t>HME4F935KF</t>
  </si>
  <si>
    <t>Hannelore Duczek</t>
  </si>
  <si>
    <t>HM5HWTMQQF</t>
  </si>
  <si>
    <t>Martha SchÃ¶nhuber-W</t>
  </si>
  <si>
    <t>Maxim Eremin</t>
  </si>
  <si>
    <t>HM5QDFSW3D</t>
  </si>
  <si>
    <t>Cang Ho</t>
  </si>
  <si>
    <t>Atay Utlulig</t>
  </si>
  <si>
    <t>-0.45999999999997954</t>
  </si>
  <si>
    <t>HM29RHH3DT</t>
  </si>
  <si>
    <t>Hannelore Pink</t>
  </si>
  <si>
    <t>HMT54AZ9TQ</t>
  </si>
  <si>
    <t>Bwyan Ramami</t>
  </si>
  <si>
    <t>HMFZH5W5YP</t>
  </si>
  <si>
    <t>RenÃ© Wittwer</t>
  </si>
  <si>
    <t>HM8S9Y89XH</t>
  </si>
  <si>
    <t>Jacob Hinsdale</t>
  </si>
  <si>
    <t>HMRQ4JP44E</t>
  </si>
  <si>
    <t>Moritz Willer</t>
  </si>
  <si>
    <t>Tetyana Malafy</t>
  </si>
  <si>
    <t>HM2C4XQR3M</t>
  </si>
  <si>
    <t>Anna Smolka</t>
  </si>
  <si>
    <t>Mandy Morgan</t>
  </si>
  <si>
    <t>HM3RXPCQT8</t>
  </si>
  <si>
    <t>Nilotpal Sensarkar</t>
  </si>
  <si>
    <t>HMEDT8ZEXR</t>
  </si>
  <si>
    <t>Per-Olof Bogren</t>
  </si>
  <si>
    <t>HMJ93QYPXK</t>
  </si>
  <si>
    <t>Jim Scott</t>
  </si>
  <si>
    <t>HMB4M3WJEC</t>
  </si>
  <si>
    <t>S Broer</t>
  </si>
  <si>
    <t>HM8Z9Y9RTD</t>
  </si>
  <si>
    <t>Tabitha Karanja</t>
  </si>
  <si>
    <t>HMXYHPHPE4</t>
  </si>
  <si>
    <t>Annalisa Polo</t>
  </si>
  <si>
    <t>HMYRMAHMTP</t>
  </si>
  <si>
    <t>Cate Harmon</t>
  </si>
  <si>
    <t>HME9AB9WHA</t>
  </si>
  <si>
    <t>Kostas Filippidis</t>
  </si>
  <si>
    <t>HMMDMCQAAE</t>
  </si>
  <si>
    <t>Marvin Hochstrat</t>
  </si>
  <si>
    <t>HMYA38RJWM</t>
  </si>
  <si>
    <t>Raffaele Marinelli</t>
  </si>
  <si>
    <t>HMYBXBYTFX</t>
  </si>
  <si>
    <t>Nicholas Ringling</t>
  </si>
  <si>
    <t>HMQZHF5NET</t>
  </si>
  <si>
    <t>Ant Johnson</t>
  </si>
  <si>
    <t>HMJX9PEFTA</t>
  </si>
  <si>
    <t>Conny Klotz</t>
  </si>
  <si>
    <t>Todd Girdley</t>
  </si>
  <si>
    <t>HMEP8DA4QH</t>
  </si>
  <si>
    <t>Rolf Welberts</t>
  </si>
  <si>
    <t>Pia De Quint</t>
  </si>
  <si>
    <t>HMRS35MEEE</t>
  </si>
  <si>
    <t>Dorothea Lorenz</t>
  </si>
  <si>
    <t>HMDAZYCX45</t>
  </si>
  <si>
    <t>Aida Ahmadi</t>
  </si>
  <si>
    <t>HMWHB8Y4A5</t>
  </si>
  <si>
    <t>Dragana Matulin</t>
  </si>
  <si>
    <t>Mai Lan Ha</t>
  </si>
  <si>
    <t>HMXWDH9M3R</t>
  </si>
  <si>
    <t>Stefan Gerber</t>
  </si>
  <si>
    <t>HM4YPXFRBA</t>
  </si>
  <si>
    <t>Marine Mounier</t>
  </si>
  <si>
    <t>HMYJQ8X3JX</t>
  </si>
  <si>
    <t>Sven Publie</t>
  </si>
  <si>
    <t>HMNC8XZ4KK</t>
  </si>
  <si>
    <t>JÃ¼rgen Mees</t>
  </si>
  <si>
    <t>Sandra Reutter</t>
  </si>
  <si>
    <t>HM899RZX2P</t>
  </si>
  <si>
    <t>Izabela Kowalska</t>
  </si>
  <si>
    <t>HMNWZSBPW9</t>
  </si>
  <si>
    <t>Nikhil Erlebach Chanda</t>
  </si>
  <si>
    <t>HMYMZEEM4Y</t>
  </si>
  <si>
    <t>Wes Jolliff</t>
  </si>
  <si>
    <t>HM2R3X9AR3</t>
  </si>
  <si>
    <t>Nadia Mesbah</t>
  </si>
  <si>
    <t>HMAWD3RJTB</t>
  </si>
  <si>
    <t>Teresa Barile</t>
  </si>
  <si>
    <t>Dani Reredol</t>
  </si>
  <si>
    <t>HMDRDDQKR2</t>
  </si>
  <si>
    <t>Christian Bernecker</t>
  </si>
  <si>
    <t>Diana Straube</t>
  </si>
  <si>
    <t>HMBYXQJ9RE</t>
  </si>
  <si>
    <t>Drew Rutledge</t>
  </si>
  <si>
    <t>HMH34385RN</t>
  </si>
  <si>
    <t>Shawn Miller</t>
  </si>
  <si>
    <t>HMDEWBAXPJ</t>
  </si>
  <si>
    <t>David SchrÃ¶der</t>
  </si>
  <si>
    <t>HMNETS9M9T</t>
  </si>
  <si>
    <t>Ayse Ba</t>
  </si>
  <si>
    <t>HMJX88KCHH</t>
  </si>
  <si>
    <t>Michael Skoczylas H</t>
  </si>
  <si>
    <t>Niklas Wolf</t>
  </si>
  <si>
    <t>HMMD5MAM9X</t>
  </si>
  <si>
    <t>Michael Skoczylas D</t>
  </si>
  <si>
    <t>GÃ¼rkan GÃ¼r</t>
  </si>
  <si>
    <t>-0.4900000000000091</t>
  </si>
  <si>
    <t>HM45B4ZNK4</t>
  </si>
  <si>
    <t>Emily Max Whg.</t>
  </si>
  <si>
    <t>Yu Yin</t>
  </si>
  <si>
    <t>HMPEXS2TB8</t>
  </si>
  <si>
    <t>Mohamed Amine Faouani</t>
  </si>
  <si>
    <t>HMM339F89T</t>
  </si>
  <si>
    <t>Christopher Wiegand</t>
  </si>
  <si>
    <t>Caroline Jin</t>
  </si>
  <si>
    <t>HMAKEFRJ43</t>
  </si>
  <si>
    <t>Romulo Moncada</t>
  </si>
  <si>
    <t>HMQN8D5ME3</t>
  </si>
  <si>
    <t>Sabine Barth</t>
  </si>
  <si>
    <t>HMPTT3RZKW</t>
  </si>
  <si>
    <t>Sunnie Yun</t>
  </si>
  <si>
    <t>HMMDERCB9X</t>
  </si>
  <si>
    <t>Jean-Yves Philippe</t>
  </si>
  <si>
    <t>HMQYDM49HX</t>
  </si>
  <si>
    <t>Kun Wang</t>
  </si>
  <si>
    <t>HMSRRSJ3KN</t>
  </si>
  <si>
    <t>Waldemar Weiss</t>
  </si>
  <si>
    <t>HM2RCAF2CM</t>
  </si>
  <si>
    <t>Elizabeth Joyce</t>
  </si>
  <si>
    <t>HMMBKZSYMH</t>
  </si>
  <si>
    <t>HuiLing Hung</t>
  </si>
  <si>
    <t>HMFHTWAR9X</t>
  </si>
  <si>
    <t>Christian Friesenegger</t>
  </si>
  <si>
    <t>HMYZ8ZYTDY</t>
  </si>
  <si>
    <t>Camille Gagnon</t>
  </si>
  <si>
    <t>0.4300000000000068</t>
  </si>
  <si>
    <t>HM9EP3D4SB</t>
  </si>
  <si>
    <t>Dana Etherington</t>
  </si>
  <si>
    <t>HM5PZR35RA</t>
  </si>
  <si>
    <t>HM4ZWK52K8</t>
  </si>
  <si>
    <t>Daisy Karega</t>
  </si>
  <si>
    <t>HMR9P3K92K</t>
  </si>
  <si>
    <t>Kelton Koch</t>
  </si>
  <si>
    <t>HMS24PHCNE</t>
  </si>
  <si>
    <t>Abdullatif Al-Abdullah</t>
  </si>
  <si>
    <t>HMP9RZRYQK</t>
  </si>
  <si>
    <t>Christoph Gedschold</t>
  </si>
  <si>
    <t>HM9C4QW5R5</t>
  </si>
  <si>
    <t>Nada Lottermann</t>
  </si>
  <si>
    <t>HMYMTQASWP</t>
  </si>
  <si>
    <t>Marcus Begley</t>
  </si>
  <si>
    <t>HM8PACFPD2</t>
  </si>
  <si>
    <t>Wiebke Peters</t>
  </si>
  <si>
    <t>HMBEC9FNXK</t>
  </si>
  <si>
    <t>Qi Xia</t>
  </si>
  <si>
    <t>HM2KPQD895</t>
  </si>
  <si>
    <t>Michele Panuccio</t>
  </si>
  <si>
    <t>HMJYBSJXXN</t>
  </si>
  <si>
    <t>Marc Koehler</t>
  </si>
  <si>
    <t>HMWDJBAAFQ</t>
  </si>
  <si>
    <t>Claudia Breure</t>
  </si>
  <si>
    <t>HMKQ2ZRKJ2</t>
  </si>
  <si>
    <t>Veronika Waldleben</t>
  </si>
  <si>
    <t>Anja Zeisig</t>
  </si>
  <si>
    <t>HMDHND94MQ</t>
  </si>
  <si>
    <t>Philipp KÃ¶th NEU</t>
  </si>
  <si>
    <t>Skyler Insler</t>
  </si>
  <si>
    <t>HM5F8KTHSP</t>
  </si>
  <si>
    <t>HMEBRWJ3E9</t>
  </si>
  <si>
    <t>Graciela Poupon</t>
  </si>
  <si>
    <t>HMM33ME3D5</t>
  </si>
  <si>
    <t>Daniel Sineiro</t>
  </si>
  <si>
    <t>HMEXCMP8FT</t>
  </si>
  <si>
    <t>Lucas Smolic</t>
  </si>
  <si>
    <t>HMWJSFB5DZ</t>
  </si>
  <si>
    <t>Emre Turgut</t>
  </si>
  <si>
    <t>HMHQ48P5FQ</t>
  </si>
  <si>
    <t>Wendy Lee</t>
  </si>
  <si>
    <t>HMFXH9XX24</t>
  </si>
  <si>
    <t>Swantje Winder</t>
  </si>
  <si>
    <t>HMEXXMSNSA</t>
  </si>
  <si>
    <t>Donata Kramarz</t>
  </si>
  <si>
    <t>Agnes Wilson</t>
  </si>
  <si>
    <t>HMXAR4WZNN</t>
  </si>
  <si>
    <t>Anthony Hall</t>
  </si>
  <si>
    <t>HMFTP9D84X</t>
  </si>
  <si>
    <t>Marta Colomer</t>
  </si>
  <si>
    <t>EE2JKR</t>
  </si>
  <si>
    <t>Hugo Michel</t>
  </si>
  <si>
    <t>HMPPYMPRMA</t>
  </si>
  <si>
    <t>Malte Schubert</t>
  </si>
  <si>
    <t>Dimitar Kanikov</t>
  </si>
  <si>
    <t>HME83FTTBE</t>
  </si>
  <si>
    <t>Marco Canali</t>
  </si>
  <si>
    <t>-0.08999999999991815</t>
  </si>
  <si>
    <t>HMC4MSSNT9</t>
  </si>
  <si>
    <t>Kora Welsh</t>
  </si>
  <si>
    <t>HMWQ5J3RPK</t>
  </si>
  <si>
    <t>John Ward</t>
  </si>
  <si>
    <t>0.4399999999999977</t>
  </si>
  <si>
    <t>HMK3TW94NF</t>
  </si>
  <si>
    <t>Thomas Berstad</t>
  </si>
  <si>
    <t>HM554NAYZR</t>
  </si>
  <si>
    <t>Terrence Brandao</t>
  </si>
  <si>
    <t>HMWJ2C8YE9</t>
  </si>
  <si>
    <t>Sarah Ahmad</t>
  </si>
  <si>
    <t>HM3PAZ2YDE</t>
  </si>
  <si>
    <t>Xhinaldo MeÃ§ani</t>
  </si>
  <si>
    <t>HMR9J89KPM</t>
  </si>
  <si>
    <t>Ralf Mueller</t>
  </si>
  <si>
    <t>Alexey Sidorov</t>
  </si>
  <si>
    <t>HMK4DH5FEM</t>
  </si>
  <si>
    <t>Martin Poulsen</t>
  </si>
  <si>
    <t>HMHY9HM9HF</t>
  </si>
  <si>
    <t>Maria Schnitker-MÃ¼nnich</t>
  </si>
  <si>
    <t>HMRQ4DCST5</t>
  </si>
  <si>
    <t>Norbert Sarkoezi</t>
  </si>
  <si>
    <t>Daniel Yu</t>
  </si>
  <si>
    <t>HMT8AHC85T</t>
  </si>
  <si>
    <t>Sunil Jain</t>
  </si>
  <si>
    <t>HM8DWM5Z48</t>
  </si>
  <si>
    <t>Katharina Gammel</t>
  </si>
  <si>
    <t>Kimberley Daley</t>
  </si>
  <si>
    <t>HMB3SNFJMW</t>
  </si>
  <si>
    <t>Hans Heusgen links</t>
  </si>
  <si>
    <t>Ricardas Grybas</t>
  </si>
  <si>
    <t>HMNNXDPPTC</t>
  </si>
  <si>
    <t>Andrew Sullivan</t>
  </si>
  <si>
    <t>HM9BDESJD4</t>
  </si>
  <si>
    <t>Thomas Ehret</t>
  </si>
  <si>
    <t>HM9JD25BSD</t>
  </si>
  <si>
    <t>Ally Felicidario</t>
  </si>
  <si>
    <t>HMQ5DXMPZW</t>
  </si>
  <si>
    <t>Thomas RÃ¼ckert</t>
  </si>
  <si>
    <t>Nash Chiyangwa</t>
  </si>
  <si>
    <t>HMAXPSZBT3</t>
  </si>
  <si>
    <t>Biggio Li</t>
  </si>
  <si>
    <t>HMBNHKB9PZ</t>
  </si>
  <si>
    <t>Ed Morawski</t>
  </si>
  <si>
    <t>HMACTZM3XX</t>
  </si>
  <si>
    <t>Philippe Gaudet</t>
  </si>
  <si>
    <t>HMQJ8JCF5B</t>
  </si>
  <si>
    <t>Connor Russo</t>
  </si>
  <si>
    <t>HMRRA3PQRX</t>
  </si>
  <si>
    <t>Manuela KeÃŸler</t>
  </si>
  <si>
    <t>Beka Murgulia</t>
  </si>
  <si>
    <t>HMQQDHHRKE</t>
  </si>
  <si>
    <t>Vinay Yadav</t>
  </si>
  <si>
    <t>HME5F5CBDY</t>
  </si>
  <si>
    <t>Hans Heusgen rechts</t>
  </si>
  <si>
    <t>Dorin Ciumac</t>
  </si>
  <si>
    <t>HMKMEKAYW5</t>
  </si>
  <si>
    <t>Kate Deamon</t>
  </si>
  <si>
    <t>HMMDQRR53E</t>
  </si>
  <si>
    <t>Buchmann &amp; Chantzis2</t>
  </si>
  <si>
    <t>Ã–zlem IÅŸeri</t>
  </si>
  <si>
    <t>HM9FM4MT5E</t>
  </si>
  <si>
    <t>Lars KlingelhÃ¶fer kl</t>
  </si>
  <si>
    <t>Abdulkadir Veziroglu</t>
  </si>
  <si>
    <t>HMYKW3ZMRM</t>
  </si>
  <si>
    <t>Buchmann &amp; Chantzis1</t>
  </si>
  <si>
    <t>Marilou Regan</t>
  </si>
  <si>
    <t>HMS4CZ5544</t>
  </si>
  <si>
    <t>Frank HeindÃ¶rfer</t>
  </si>
  <si>
    <t>HMNR49TDP8</t>
  </si>
  <si>
    <t>Buchmann &amp; Chantzis3</t>
  </si>
  <si>
    <t>James Carter</t>
  </si>
  <si>
    <t>HM9CAHATDB</t>
  </si>
  <si>
    <t>Pablo CortÃ©s</t>
  </si>
  <si>
    <t>HMF2RZE3J4</t>
  </si>
  <si>
    <t>Giannis Negkakis</t>
  </si>
  <si>
    <t>HMCN9JS2XN</t>
  </si>
  <si>
    <t>Alexandra Boughton</t>
  </si>
  <si>
    <t>HMEHW35BDD</t>
  </si>
  <si>
    <t>Maxim Leonov</t>
  </si>
  <si>
    <t>HMJB4ZJRF3</t>
  </si>
  <si>
    <t>Pj Chantzios</t>
  </si>
  <si>
    <t>HMT48JEYKX</t>
  </si>
  <si>
    <t>Ram Lokan</t>
  </si>
  <si>
    <t>HM3ABH5RAP</t>
  </si>
  <si>
    <t>Hans Heusgen Mitte</t>
  </si>
  <si>
    <t>Monika Peters-Schweizer</t>
  </si>
  <si>
    <t>HMD2PZ5Q9T</t>
  </si>
  <si>
    <t>George Garcia</t>
  </si>
  <si>
    <t>HM8E345YW5</t>
  </si>
  <si>
    <t>Simon Eckhardt</t>
  </si>
  <si>
    <t>HMPD3ETNSY</t>
  </si>
  <si>
    <t>Elena Meleschko</t>
  </si>
  <si>
    <t>HMSJXJMJM8</t>
  </si>
  <si>
    <t>Andrea Van Der Kuip</t>
  </si>
  <si>
    <t>HMNP2MQJFE</t>
  </si>
  <si>
    <t>Doron Krips</t>
  </si>
  <si>
    <t>HMFNEXYDF4</t>
  </si>
  <si>
    <t>Sandro Alisic</t>
  </si>
  <si>
    <t>HMXZWS9ZSX</t>
  </si>
  <si>
    <t>Lena Gosmann</t>
  </si>
  <si>
    <t>HMK3H3RMEM</t>
  </si>
  <si>
    <t>Antony Kucuk</t>
  </si>
  <si>
    <t>HMJCR3N485</t>
  </si>
  <si>
    <t>Stephanie Bug</t>
  </si>
  <si>
    <t>Enrico LÃ¼ckert</t>
  </si>
  <si>
    <t>HMNNK5334K</t>
  </si>
  <si>
    <t>Doug Livermore</t>
  </si>
  <si>
    <t>HMCXNAWPWW</t>
  </si>
  <si>
    <t>Marvin JÃ¤ckel</t>
  </si>
  <si>
    <t>HMFHBC9JMB</t>
  </si>
  <si>
    <t>Dmitry Ursegov</t>
  </si>
  <si>
    <t>HM5PAPZMZ3</t>
  </si>
  <si>
    <t>Flavio Laus</t>
  </si>
  <si>
    <t>Nadine Jahner</t>
  </si>
  <si>
    <t>HMAZFYWMEC</t>
  </si>
  <si>
    <t>Anne Flannery</t>
  </si>
  <si>
    <t>HMWKEKWEJW</t>
  </si>
  <si>
    <t>Nate Whitehouse</t>
  </si>
  <si>
    <t>HMBSJC4ZEY</t>
  </si>
  <si>
    <t>Jose Martins</t>
  </si>
  <si>
    <t>HMDKTT8ADW</t>
  </si>
  <si>
    <t>Valerie Ludwig</t>
  </si>
  <si>
    <t>Renee Schumm</t>
  </si>
  <si>
    <t>HMD24NRRWH</t>
  </si>
  <si>
    <t>Florian Neubert</t>
  </si>
  <si>
    <t>AndrÃ© Herculano</t>
  </si>
  <si>
    <t>HMEHCS8K5A</t>
  </si>
  <si>
    <t>Katja Sterzenbach</t>
  </si>
  <si>
    <t>Christiana Miller</t>
  </si>
  <si>
    <t>HM9KXDA82A</t>
  </si>
  <si>
    <t>HM5QED9YZA</t>
  </si>
  <si>
    <t>JÃ¶rg Hempelmann</t>
  </si>
  <si>
    <t>Stephan Herrmann</t>
  </si>
  <si>
    <t>HMCHEMHJ8Z</t>
  </si>
  <si>
    <t>Andre Ginter</t>
  </si>
  <si>
    <t>HMDCBXE2W9</t>
  </si>
  <si>
    <t>Narisa Chakra</t>
  </si>
  <si>
    <t>HMS9QAQEFW</t>
  </si>
  <si>
    <t>Christiane Dederichs</t>
  </si>
  <si>
    <t>HM44F4B9W3</t>
  </si>
  <si>
    <t>Justo Hidalgo</t>
  </si>
  <si>
    <t>HMBCS4KZZB</t>
  </si>
  <si>
    <t>Rose Aoki</t>
  </si>
  <si>
    <t>HMM33A3N5P</t>
  </si>
  <si>
    <t>Lili David</t>
  </si>
  <si>
    <t>HMP34C2T3D</t>
  </si>
  <si>
    <t>Cem YiÄŸitbaÅŸ</t>
  </si>
  <si>
    <t>HM8N5C2PXC</t>
  </si>
  <si>
    <t>Melanie Schitter</t>
  </si>
  <si>
    <t>HMHEK2CMQE</t>
  </si>
  <si>
    <t>Garrett Drejza</t>
  </si>
  <si>
    <t>HMEMQ4FP94</t>
  </si>
  <si>
    <t>Gaia Turilli</t>
  </si>
  <si>
    <t>æ³³æ–‡ åˆ˜</t>
  </si>
  <si>
    <t>HMSJ3WEB4A</t>
  </si>
  <si>
    <t>Michael SchÃ¶ffel</t>
  </si>
  <si>
    <t>HMD5PRWH3A</t>
  </si>
  <si>
    <t>Paul Eccarius</t>
  </si>
  <si>
    <t>HMZP5N543K</t>
  </si>
  <si>
    <t>Leo Halim</t>
  </si>
  <si>
    <t>HMR2BJ3HQB</t>
  </si>
  <si>
    <t>Yvette Prier</t>
  </si>
  <si>
    <t>HM4YNRZH42</t>
  </si>
  <si>
    <t>Pilar OblÃ³mov</t>
  </si>
  <si>
    <t>HM2KAYYSZ4</t>
  </si>
  <si>
    <t>VÃ¡clav Kazda</t>
  </si>
  <si>
    <t>HMT5QXNDNQ</t>
  </si>
  <si>
    <t>Anton Paciorek</t>
  </si>
  <si>
    <t>Christine Vescoli</t>
  </si>
  <si>
    <t>HMPBWDRK5Y</t>
  </si>
  <si>
    <t>Hasmeet Kaur</t>
  </si>
  <si>
    <t>HMCKSHFTTE</t>
  </si>
  <si>
    <t>Kane Holz</t>
  </si>
  <si>
    <t>HMWCAQ3HRN</t>
  </si>
  <si>
    <t>Maik Ritter</t>
  </si>
  <si>
    <t>HMZ8N2YF5X</t>
  </si>
  <si>
    <t>Florin C Boutiuc</t>
  </si>
  <si>
    <t>HMAQYE5JZM</t>
  </si>
  <si>
    <t>David Mesche</t>
  </si>
  <si>
    <t>HMNPKTRZE3</t>
  </si>
  <si>
    <t>Raluca Resmerita</t>
  </si>
  <si>
    <t>HMKTPJABAC</t>
  </si>
  <si>
    <t>Jiaqi Weng</t>
  </si>
  <si>
    <t>HMZRFW2EF9</t>
  </si>
  <si>
    <t>Beate Niessen</t>
  </si>
  <si>
    <t>HMBH9CCP2K</t>
  </si>
  <si>
    <t>Ashur Adam</t>
  </si>
  <si>
    <t>-0.009999999999990905</t>
  </si>
  <si>
    <t>HMK2F4QK89</t>
  </si>
  <si>
    <t>Leonie Brackmann</t>
  </si>
  <si>
    <t>HMXA29HNMH</t>
  </si>
  <si>
    <t>Izabella Wozniak</t>
  </si>
  <si>
    <t>HMDDNERZFD</t>
  </si>
  <si>
    <t>Julie BÃ¤rz</t>
  </si>
  <si>
    <t>HM2YFA442N</t>
  </si>
  <si>
    <t>Esmarie Swanepoel</t>
  </si>
  <si>
    <t>HMFJ438EDZ</t>
  </si>
  <si>
    <t>Kelly Sehnaoui</t>
  </si>
  <si>
    <t>HMSAQWJRH2</t>
  </si>
  <si>
    <t>Emily Haeuser</t>
  </si>
  <si>
    <t>HMHQ2RDJH9</t>
  </si>
  <si>
    <t>Karan Razdan</t>
  </si>
  <si>
    <t>HMYHMYF5KS</t>
  </si>
  <si>
    <t>Petra Lammers</t>
  </si>
  <si>
    <t>HMBPXJFZ8P</t>
  </si>
  <si>
    <t>Bruno &amp; Mariana .</t>
  </si>
  <si>
    <t>HMBKTXZBWN</t>
  </si>
  <si>
    <t>Adrian Pohr</t>
  </si>
  <si>
    <t>HMWA3TF39W</t>
  </si>
  <si>
    <t>Aisling Mc Mahon</t>
  </si>
  <si>
    <t>HM54BED9Q3</t>
  </si>
  <si>
    <t>Gary Fraser</t>
  </si>
  <si>
    <t>HMKAZAER5R</t>
  </si>
  <si>
    <t>Mireille Metwalli</t>
  </si>
  <si>
    <t>HMHYSN2JE3</t>
  </si>
  <si>
    <t>Lucie Guerra</t>
  </si>
  <si>
    <t>HMCE83NBBQ</t>
  </si>
  <si>
    <t>Anne JÃ¸rgensen</t>
  </si>
  <si>
    <t>-0.4200000000000159</t>
  </si>
  <si>
    <t>HMCD9NATW5</t>
  </si>
  <si>
    <t>Mohammed Alkhoshairim</t>
  </si>
  <si>
    <t>HMY9BJNHMR</t>
  </si>
  <si>
    <t>Kristina Popova</t>
  </si>
  <si>
    <t>HM4RHZMBTM</t>
  </si>
  <si>
    <t>Rico Wu</t>
  </si>
  <si>
    <t>HMNJRH5R54</t>
  </si>
  <si>
    <t>Tobias Von AllwÃ¶rden</t>
  </si>
  <si>
    <t>HMW3N3H84E</t>
  </si>
  <si>
    <t>HMSHT4AWWP</t>
  </si>
  <si>
    <t>Masoud Mohri</t>
  </si>
  <si>
    <t>HMMN3Z93D8</t>
  </si>
  <si>
    <t>Stan Cibulis</t>
  </si>
  <si>
    <t>0.21999999999999886</t>
  </si>
  <si>
    <t>HMKRXSJSHF</t>
  </si>
  <si>
    <t>Guillaume Kurt</t>
  </si>
  <si>
    <t>-0.20999999999997954</t>
  </si>
  <si>
    <t>HMSE4HYBYY</t>
  </si>
  <si>
    <t>Dan Havrilet</t>
  </si>
  <si>
    <t>HMRQ8BFS3M</t>
  </si>
  <si>
    <t>Lingyu Li</t>
  </si>
  <si>
    <t>HMZCN5HCA3</t>
  </si>
  <si>
    <t>Desiree Ludewig</t>
  </si>
  <si>
    <t>Anne-Mai Elbrecht</t>
  </si>
  <si>
    <t>HMYZ4SQE8S</t>
  </si>
  <si>
    <t>Dustin Woods</t>
  </si>
  <si>
    <t>HMAQCSP9Q9</t>
  </si>
  <si>
    <t>Liliane St-Arnaud</t>
  </si>
  <si>
    <t>HMMMTQWAC2</t>
  </si>
  <si>
    <t>Alejandro Miranda R.</t>
  </si>
  <si>
    <t>0.12999999999999545</t>
  </si>
  <si>
    <t>HMRS3F2BER</t>
  </si>
  <si>
    <t>Aurel Popescu</t>
  </si>
  <si>
    <t>HMAXZKTWCB</t>
  </si>
  <si>
    <t>Elisabeth Agasse</t>
  </si>
  <si>
    <t>HMC2SNYFS3</t>
  </si>
  <si>
    <t>Adilah Hussien</t>
  </si>
  <si>
    <t>HM8RW8SRRX</t>
  </si>
  <si>
    <t>Joachim Becker</t>
  </si>
  <si>
    <t>HMQETY28QX</t>
  </si>
  <si>
    <t>HM3S9FTRXS</t>
  </si>
  <si>
    <t>BÃ©rengÃ¨re Rousseau</t>
  </si>
  <si>
    <t>HMQWNQE8P9</t>
  </si>
  <si>
    <t>Wertheim Chief</t>
  </si>
  <si>
    <t>Peter Jakubek</t>
  </si>
  <si>
    <t>HM2SSDZMY5</t>
  </si>
  <si>
    <t>Christoph Pfeiffer</t>
  </si>
  <si>
    <t>HMWSMT5QA3</t>
  </si>
  <si>
    <t>Gaby Mulders</t>
  </si>
  <si>
    <t>HMCN3THWMZ</t>
  </si>
  <si>
    <t>Daniel Buchholz</t>
  </si>
  <si>
    <t>HMKHQ33RME</t>
  </si>
  <si>
    <t>Taner GÃ¼rkan</t>
  </si>
  <si>
    <t>0.209999999999809</t>
  </si>
  <si>
    <t>HMCF9F3M28</t>
  </si>
  <si>
    <t>Chris Payne</t>
  </si>
  <si>
    <t>HMPJNJJR5D</t>
  </si>
  <si>
    <t>Colin Crawford</t>
  </si>
  <si>
    <t>HMS2NDAFF5</t>
  </si>
  <si>
    <t>Iuliia Ionova</t>
  </si>
  <si>
    <t>HMFREYMNSD</t>
  </si>
  <si>
    <t>Sven Urselmann</t>
  </si>
  <si>
    <t>Roger Leuch</t>
  </si>
  <si>
    <t>HMTMSP4NNY</t>
  </si>
  <si>
    <t>Jack Murphy</t>
  </si>
  <si>
    <t>HMCDXW5PDC</t>
  </si>
  <si>
    <t>Darmstadt</t>
  </si>
  <si>
    <t>Johanna Ahlbrecht</t>
  </si>
  <si>
    <t>Davis Davis</t>
  </si>
  <si>
    <t>HMAH2QM3A9</t>
  </si>
  <si>
    <t>Mary Rupcic</t>
  </si>
  <si>
    <t>HMAJBPZ3SJ</t>
  </si>
  <si>
    <t>Vladimir Spirin</t>
  </si>
  <si>
    <t>HMEZJPPZPE</t>
  </si>
  <si>
    <t>Jannette Flores 2</t>
  </si>
  <si>
    <t>Martin And Janine Bauer</t>
  </si>
  <si>
    <t>HM3HCYYD2H</t>
  </si>
  <si>
    <t>Anna JÃ¤ger</t>
  </si>
  <si>
    <t>HM3TPQ2SN2</t>
  </si>
  <si>
    <t>Mary Rykaczewski</t>
  </si>
  <si>
    <t>HMQMC3HP4A</t>
  </si>
  <si>
    <t>Joao Paulo</t>
  </si>
  <si>
    <t>HMEN2J9HZH</t>
  </si>
  <si>
    <t>Ammar Marfoua</t>
  </si>
  <si>
    <t>HM8FE4X29E</t>
  </si>
  <si>
    <t>Marisa Buis</t>
  </si>
  <si>
    <t>HMWZC39YZW</t>
  </si>
  <si>
    <t>Konstantin Svirin</t>
  </si>
  <si>
    <t>HMJMZP3ASQ</t>
  </si>
  <si>
    <t>Michaela Wittgenstei</t>
  </si>
  <si>
    <t>Fuad Ibrahimov</t>
  </si>
  <si>
    <t>HMHTAFCKFW</t>
  </si>
  <si>
    <t>Michael Grad</t>
  </si>
  <si>
    <t>HMANCJHQD2</t>
  </si>
  <si>
    <t>Nicola Hartung</t>
  </si>
  <si>
    <t>Santiago Barreiro Couto</t>
  </si>
  <si>
    <t>HM8ABQY29Q</t>
  </si>
  <si>
    <t>Manfred Schuetzenauer</t>
  </si>
  <si>
    <t>HMZ835XNMZ</t>
  </si>
  <si>
    <t>HMT5ZB499D</t>
  </si>
  <si>
    <t>Jessica Green</t>
  </si>
  <si>
    <t>-0.2400000000000091</t>
  </si>
  <si>
    <t>HM5MHAZR9Y</t>
  </si>
  <si>
    <t>Reynaldo Sanna</t>
  </si>
  <si>
    <t>HMXW9WM4D3</t>
  </si>
  <si>
    <t>Michael Irrgang</t>
  </si>
  <si>
    <t>HM2DR95QY3</t>
  </si>
  <si>
    <t>Louis Nordrum</t>
  </si>
  <si>
    <t>HMQZBKRAEF</t>
  </si>
  <si>
    <t>Matthew Jess</t>
  </si>
  <si>
    <t>HM25EDR95Z</t>
  </si>
  <si>
    <t>Alexander Wrobel</t>
  </si>
  <si>
    <t>HMS585CS52</t>
  </si>
  <si>
    <t>Marijn Heinen</t>
  </si>
  <si>
    <t>HMDDWMEZX4</t>
  </si>
  <si>
    <t>Sebastian Eder</t>
  </si>
  <si>
    <t>HMJDDJKQTM</t>
  </si>
  <si>
    <t>Kerstin Smialy</t>
  </si>
  <si>
    <t>HMA3TWFXNX</t>
  </si>
  <si>
    <t>Susan Staley</t>
  </si>
  <si>
    <t>HMW3KEWTJJ</t>
  </si>
  <si>
    <t>Chris Loga</t>
  </si>
  <si>
    <t>HMMF5H4TTX</t>
  </si>
  <si>
    <t>Kyrill Otten</t>
  </si>
  <si>
    <t>0.25</t>
  </si>
  <si>
    <t>HMND5FQ9SH</t>
  </si>
  <si>
    <t>Kyo Takahashi</t>
  </si>
  <si>
    <t>HMYF2MDXNK</t>
  </si>
  <si>
    <t>Erin Staffa</t>
  </si>
  <si>
    <t>HMDJDFFMAQ</t>
  </si>
  <si>
    <t>Dmitry Rachkovsky</t>
  </si>
  <si>
    <t>HMKRHWEXQC</t>
  </si>
  <si>
    <t>Sarah Butler</t>
  </si>
  <si>
    <t>HMZXSFJ2QF</t>
  </si>
  <si>
    <t>Michael Bogucki</t>
  </si>
  <si>
    <t>HMT3KNPJNZ</t>
  </si>
  <si>
    <t>Noreen Reiter</t>
  </si>
  <si>
    <t>Julien Hamelin</t>
  </si>
  <si>
    <t>0.03999999999999204</t>
  </si>
  <si>
    <t>HMPWYFQPB2</t>
  </si>
  <si>
    <t>Bella Sea</t>
  </si>
  <si>
    <t>-0.5</t>
  </si>
  <si>
    <t>HMRP4AB9EH</t>
  </si>
  <si>
    <t>Vijeta Belandor</t>
  </si>
  <si>
    <t>HM4M3833HN</t>
  </si>
  <si>
    <t>Kate Kennedy</t>
  </si>
  <si>
    <t>HMRRM8RMFM</t>
  </si>
  <si>
    <t>Anna Tuchina</t>
  </si>
  <si>
    <t>HM5NTRYW8C</t>
  </si>
  <si>
    <t>Borut Pavlovic</t>
  </si>
  <si>
    <t>HM54QPXX49</t>
  </si>
  <si>
    <t>Lars Lorenzen</t>
  </si>
  <si>
    <t>HMARWYQ5BE</t>
  </si>
  <si>
    <t>Sangchul Ha</t>
  </si>
  <si>
    <t>HMFNX9NRMK</t>
  </si>
  <si>
    <t>Olga Panagiotopoulou</t>
  </si>
  <si>
    <t>HM828XCETM</t>
  </si>
  <si>
    <t>Lena Dirsater</t>
  </si>
  <si>
    <t>HMQ34KASN4</t>
  </si>
  <si>
    <t>Anastasia Hajcenko</t>
  </si>
  <si>
    <t>HM48XKXYMX</t>
  </si>
  <si>
    <t>Offenbach am Main</t>
  </si>
  <si>
    <t>Peter Best</t>
  </si>
  <si>
    <t>Jan Hanack</t>
  </si>
  <si>
    <t>-0.10999999999999943</t>
  </si>
  <si>
    <t>HMNZC8QF35</t>
  </si>
  <si>
    <t>Abhinav Sabharwal</t>
  </si>
  <si>
    <t>HMFNXHF8HM</t>
  </si>
  <si>
    <t>Laura Leonards</t>
  </si>
  <si>
    <t>HMT2QPXY8E</t>
  </si>
  <si>
    <t>Paul Geymayer</t>
  </si>
  <si>
    <t>0.36000000000001364</t>
  </si>
  <si>
    <t>HMXXB4EZ42</t>
  </si>
  <si>
    <t>Diego Navarro</t>
  </si>
  <si>
    <t>1872.65</t>
  </si>
  <si>
    <t>m2YQWoE</t>
  </si>
  <si>
    <t>Lynette Poh</t>
  </si>
  <si>
    <t>HMRJNJ2ND5</t>
  </si>
  <si>
    <t>Patti Klem</t>
  </si>
  <si>
    <t>HMREZQ9SSZ</t>
  </si>
  <si>
    <t>Nicole FrÃ¶lich</t>
  </si>
  <si>
    <t>HMZE5B8ZAS</t>
  </si>
  <si>
    <t>HMT4FC32ZZ</t>
  </si>
  <si>
    <t>Xiaojun Jia</t>
  </si>
  <si>
    <t>HMKTCJT2QZ</t>
  </si>
  <si>
    <t>Chun Guo</t>
  </si>
  <si>
    <t>HM3JTMHT8Y</t>
  </si>
  <si>
    <t>Jeffrey McBride</t>
  </si>
  <si>
    <t>HMHZCJJ5M8</t>
  </si>
  <si>
    <t>Eugene Martynovitch</t>
  </si>
  <si>
    <t>-0.35000000000002274</t>
  </si>
  <si>
    <t>HMPQEE458N</t>
  </si>
  <si>
    <t>Franz Gasser</t>
  </si>
  <si>
    <t>HMK39NM5YT</t>
  </si>
  <si>
    <t>Allen Sooredoo</t>
  </si>
  <si>
    <t>HM2824TBKS</t>
  </si>
  <si>
    <t>Evelyn Chen</t>
  </si>
  <si>
    <t>HMSXJS2ETP</t>
  </si>
  <si>
    <t>Friedhelm Iseringhausen</t>
  </si>
  <si>
    <t>HMBEZ3CDWW</t>
  </si>
  <si>
    <t>James Smith</t>
  </si>
  <si>
    <t>Emmanuel LÃ³pez Ahur</t>
  </si>
  <si>
    <t>0.4200000000000159</t>
  </si>
  <si>
    <t>HMPCW89QNA</t>
  </si>
  <si>
    <t>Katarina Andrejic</t>
  </si>
  <si>
    <t>HMWQX3WJFX</t>
  </si>
  <si>
    <t>Meret Gebistorf</t>
  </si>
  <si>
    <t>HMSBWFRHPZ</t>
  </si>
  <si>
    <t>Gonzalo Maldonado</t>
  </si>
  <si>
    <t>HMKYHYH542</t>
  </si>
  <si>
    <t>Charlotte Doherty</t>
  </si>
  <si>
    <t>HMXMFRBHZA</t>
  </si>
  <si>
    <t>Denis Kotiakhov</t>
  </si>
  <si>
    <t>HMNX2MEEE2</t>
  </si>
  <si>
    <t>Maurits Raasveldt</t>
  </si>
  <si>
    <t>HMQXQXN2WD</t>
  </si>
  <si>
    <t>Patrick Tucker</t>
  </si>
  <si>
    <t>HMWYSSESEZ</t>
  </si>
  <si>
    <t>Ryan &amp; Alison Hamada</t>
  </si>
  <si>
    <t>HM4MYXQKQD</t>
  </si>
  <si>
    <t>Matthias Andrae</t>
  </si>
  <si>
    <t>HMHW3PPAEA</t>
  </si>
  <si>
    <t>Patrick Ashrafi</t>
  </si>
  <si>
    <t>HM2J3HNDFX</t>
  </si>
  <si>
    <t>Wassim Chabrak</t>
  </si>
  <si>
    <t>-0.13999999999998636</t>
  </si>
  <si>
    <t>HMXMSCKFA2</t>
  </si>
  <si>
    <t>Gerold Gerold</t>
  </si>
  <si>
    <t>HMNMS3A4WY</t>
  </si>
  <si>
    <t>Petra Rennings</t>
  </si>
  <si>
    <t>HMQHPDNDW3</t>
  </si>
  <si>
    <t>Ksenia Belousova</t>
  </si>
  <si>
    <t>0.4700000000000273</t>
  </si>
  <si>
    <t>HMXDBJTYMN</t>
  </si>
  <si>
    <t>Patricia Hoffmann</t>
  </si>
  <si>
    <t>-0.29000000000002046</t>
  </si>
  <si>
    <t>HMF2Q388TH</t>
  </si>
  <si>
    <t>Michael Kornowski</t>
  </si>
  <si>
    <t>HMNE2X8AP3</t>
  </si>
  <si>
    <t>Sebastian Siemssen</t>
  </si>
  <si>
    <t>0.11000000000001364</t>
  </si>
  <si>
    <t>HMXAQK25N8</t>
  </si>
  <si>
    <t>Bea Nie</t>
  </si>
  <si>
    <t>HMKC52WFMN</t>
  </si>
  <si>
    <t>Max Wilmes</t>
  </si>
  <si>
    <t>HM8Z222DHY</t>
  </si>
  <si>
    <t>Ryan Mees</t>
  </si>
  <si>
    <t>0.22000000000002728</t>
  </si>
  <si>
    <t>HM3EFASHRB</t>
  </si>
  <si>
    <t>Verena Breher</t>
  </si>
  <si>
    <t>0.3299999999999841</t>
  </si>
  <si>
    <t>HMWHPCWJZB</t>
  </si>
  <si>
    <t>Esmira Aljija</t>
  </si>
  <si>
    <t>HMXMT8CCXM</t>
  </si>
  <si>
    <t>GÃ©raldine Lemaire</t>
  </si>
  <si>
    <t>HMQDPNY4FK</t>
  </si>
  <si>
    <t>Seren Hazlehurst</t>
  </si>
  <si>
    <t>HM39AEY43T</t>
  </si>
  <si>
    <t>Daliah Hentrich</t>
  </si>
  <si>
    <t>0.29000000000000625</t>
  </si>
  <si>
    <t>HMPJ3BKWC9</t>
  </si>
  <si>
    <t>NicolÃ² Degl'Innocenti</t>
  </si>
  <si>
    <t>-0.22999999999998977</t>
  </si>
  <si>
    <t>HMQAZ2C3TA</t>
  </si>
  <si>
    <t>Selin Verger</t>
  </si>
  <si>
    <t>Kristina Nesen</t>
  </si>
  <si>
    <t>HMDHDKKMZR</t>
  </si>
  <si>
    <t>Johan Dragsten</t>
  </si>
  <si>
    <t>HMMEA3RD9R</t>
  </si>
  <si>
    <t>Vejdi Ziyansiz</t>
  </si>
  <si>
    <t>-0.8500000000000227</t>
  </si>
  <si>
    <t>HM8CHBPR8K</t>
  </si>
  <si>
    <t>Lucas Reis</t>
  </si>
  <si>
    <t>HMDA5CCCW2</t>
  </si>
  <si>
    <t>Oliver Zils</t>
  </si>
  <si>
    <t>HMP8FX4WQR</t>
  </si>
  <si>
    <t>Mohammed Noor Beshir</t>
  </si>
  <si>
    <t>0.040000000000020464</t>
  </si>
  <si>
    <t>HMB42QA8HA</t>
  </si>
  <si>
    <t>Yildirim Balci</t>
  </si>
  <si>
    <t>Grzegorz Pliszka</t>
  </si>
  <si>
    <t>HMYDDPQB5R</t>
  </si>
  <si>
    <t>Dimo Sh</t>
  </si>
  <si>
    <t>HMZM35QFKN</t>
  </si>
  <si>
    <t>Alexander Peters</t>
  </si>
  <si>
    <t>HMZYFQKWT8</t>
  </si>
  <si>
    <t>Arnel Lucas</t>
  </si>
  <si>
    <t>-0.38999999999998636</t>
  </si>
  <si>
    <t>HMKPJ5JAPR</t>
  </si>
  <si>
    <t>Oscar Reyes-Torres</t>
  </si>
  <si>
    <t>-0.09999999999999432</t>
  </si>
  <si>
    <t>HM8HF3KR9M</t>
  </si>
  <si>
    <t>Angelique Geray</t>
  </si>
  <si>
    <t>HMXNQECHNK</t>
  </si>
  <si>
    <t>Julia Halter</t>
  </si>
  <si>
    <t>0.14999999999997726</t>
  </si>
  <si>
    <t>HM2P3PEASR</t>
  </si>
  <si>
    <t>JÃ¶rg Niederer</t>
  </si>
  <si>
    <t>HMMC29YY4K</t>
  </si>
  <si>
    <t>Lucila Coronel</t>
  </si>
  <si>
    <t>-0.06999999999999318</t>
  </si>
  <si>
    <t>HMCAFNCMHE</t>
  </si>
  <si>
    <t>Rachel Beyerlein</t>
  </si>
  <si>
    <t>-0.030000000000001137</t>
  </si>
  <si>
    <t>HM43BW3NS5</t>
  </si>
  <si>
    <t>Marc Lemmer</t>
  </si>
  <si>
    <t>-0.029999999999972715</t>
  </si>
  <si>
    <t>HMJ8RY5EJY</t>
  </si>
  <si>
    <t>Prodromos Chatziagorakis</t>
  </si>
  <si>
    <t>-0.18000000000000682</t>
  </si>
  <si>
    <t>HM5AQSFDZN</t>
  </si>
  <si>
    <t>Miet Verhauwaert</t>
  </si>
  <si>
    <t>-0.3499999999999943</t>
  </si>
  <si>
    <t>HMCK5QJ5WD</t>
  </si>
  <si>
    <t>JÃ¶rg Steffans</t>
  </si>
  <si>
    <t>-0.2699999999999818</t>
  </si>
  <si>
    <t>HMXAA5NEZS</t>
  </si>
  <si>
    <t>Thano Para</t>
  </si>
  <si>
    <t>HMKR3PMP8C</t>
  </si>
  <si>
    <t>Matthias Baumgartner</t>
  </si>
  <si>
    <t>-0.28000000000000114</t>
  </si>
  <si>
    <t>HMT9NZBDC5</t>
  </si>
  <si>
    <t>Yasmin Twal</t>
  </si>
  <si>
    <t>HMXQJ2BJ5A</t>
  </si>
  <si>
    <t>Helena O' Brien</t>
  </si>
  <si>
    <t>HMDQNXR59D</t>
  </si>
  <si>
    <t>20170105_Airgreets Kundendatenbank_v132</t>
  </si>
  <si>
    <t>Bitte zu nutzende Kundendatenbank eintragen</t>
  </si>
  <si>
    <t>Jana Uellendahl</t>
  </si>
  <si>
    <t>c/o: Kolk</t>
  </si>
  <si>
    <t>Am Hach 34</t>
  </si>
  <si>
    <t>jana.uellendahl@gmx.de</t>
  </si>
  <si>
    <t/>
  </si>
  <si>
    <t>x</t>
  </si>
  <si>
    <t>Anke Mönning</t>
  </si>
  <si>
    <t>Im Schlage 6</t>
  </si>
  <si>
    <t>hello@ankemoenning.de</t>
  </si>
  <si>
    <t>Marc  Heinsen</t>
  </si>
  <si>
    <t>Halemdüür 27</t>
  </si>
  <si>
    <t>msheinsen@gmx.de</t>
  </si>
  <si>
    <t>Martha Schönhuber-Whitecourt</t>
  </si>
  <si>
    <t>115 Avenue du X Septembre</t>
  </si>
  <si>
    <t>L-2551</t>
  </si>
  <si>
    <t>mschoenhuber@gmail.com und antoniawhitecourt@gmail.com</t>
  </si>
  <si>
    <t>Lindenstraße 251</t>
  </si>
  <si>
    <t>cang.ho@gmx.de</t>
  </si>
  <si>
    <t>Seilerstraße 44a</t>
  </si>
  <si>
    <t>jannetteflores@gmail.com</t>
  </si>
  <si>
    <t>Tunc Sahingöz</t>
  </si>
  <si>
    <t>Lessingstraße 2</t>
  </si>
  <si>
    <t>tunc.sahingoez@googlemail.com</t>
  </si>
  <si>
    <t>Theresienstraße 89</t>
  </si>
  <si>
    <t>mara.c@live.de</t>
  </si>
  <si>
    <t>Yildiray Stephan Metin</t>
  </si>
  <si>
    <t>Müllerstrasse 47</t>
  </si>
  <si>
    <t>yildiray.stephan.metin@gmx.de</t>
  </si>
  <si>
    <t>Beim Schlump 55</t>
  </si>
  <si>
    <t>moritz-willer@gmx.de</t>
  </si>
  <si>
    <t>Gottfried-Keller-Str. 15</t>
  </si>
  <si>
    <t>50931</t>
  </si>
  <si>
    <t>a.smolka85@gmail.com</t>
  </si>
  <si>
    <t>Westenriederstr. 39</t>
  </si>
  <si>
    <t>lorenz.neff@googlemail.com</t>
  </si>
  <si>
    <t>Olaf Maack</t>
  </si>
  <si>
    <t xml:space="preserve">Olaf Maack
</t>
  </si>
  <si>
    <t>Schillingstraße 34</t>
  </si>
  <si>
    <t>maack@hockeyshop.de</t>
  </si>
  <si>
    <t>Im Dau 11</t>
  </si>
  <si>
    <t>50678</t>
  </si>
  <si>
    <t>romina.stockmann@gmail.com</t>
  </si>
  <si>
    <t>Merianstraße 26</t>
  </si>
  <si>
    <t>avhmail@web.de</t>
  </si>
  <si>
    <t>Novalisstraße 18</t>
  </si>
  <si>
    <t>tkarduck@gmail.com</t>
  </si>
  <si>
    <t>Kölner Platz 2</t>
  </si>
  <si>
    <t>c@miessner.com</t>
  </si>
  <si>
    <t>Yakup Erdal</t>
  </si>
  <si>
    <t>Witzelstr 69A</t>
  </si>
  <si>
    <t>serpilerdal@gmx.de</t>
  </si>
  <si>
    <t>Große Bockenheimerstraße 30</t>
  </si>
  <si>
    <t>sander.daniel@web.de</t>
  </si>
  <si>
    <t>Birgit Lotze</t>
  </si>
  <si>
    <t>Fasolterstrasse 7</t>
  </si>
  <si>
    <t>bilo.lotze@gmx.de</t>
  </si>
  <si>
    <t>Jeremias Hehn</t>
  </si>
  <si>
    <t>Tumblingerstrasse 56</t>
  </si>
  <si>
    <t>hehn.jeremias@gmail.com</t>
  </si>
  <si>
    <t>John Barrie Dyke</t>
  </si>
  <si>
    <t>Zur Waage 13</t>
  </si>
  <si>
    <t>info@dyko.de</t>
  </si>
  <si>
    <t>Conny  Klotz</t>
  </si>
  <si>
    <t>St.-Martin Strasse 7</t>
  </si>
  <si>
    <t>conny.klotz@gmx.net</t>
  </si>
  <si>
    <t>Weißenseestrasse 112</t>
  </si>
  <si>
    <t>81539</t>
  </si>
  <si>
    <t>welberts@gmx.net</t>
  </si>
  <si>
    <t>Kettengasse 10</t>
  </si>
  <si>
    <t>drstasch@googlemail.com</t>
  </si>
  <si>
    <t>Kreuzweg 6</t>
  </si>
  <si>
    <t>kay.schneutzer@gmail.com</t>
  </si>
  <si>
    <t>Denninger Straße 148</t>
  </si>
  <si>
    <t>dadyka15@gmail.com</t>
  </si>
  <si>
    <t>Brigitte Puschmann</t>
  </si>
  <si>
    <t>Auf der Eierwiese 3a</t>
  </si>
  <si>
    <t>joerg.puschmann@gmx.de, brigitte.puschmann@gmx.de</t>
  </si>
  <si>
    <t>Lena  Schneider</t>
  </si>
  <si>
    <t xml:space="preserve">Rumfordstr. 32 </t>
  </si>
  <si>
    <t>lenaschneider.ls@gmail.com</t>
  </si>
  <si>
    <t>Jürgen Mees</t>
  </si>
  <si>
    <t>Prenzlauer Berg 9</t>
  </si>
  <si>
    <t>privat@juegenmees.de</t>
  </si>
  <si>
    <t>Ines Brünn</t>
  </si>
  <si>
    <t>Collenbachstraße 58</t>
  </si>
  <si>
    <t>ibruenn@web.de</t>
  </si>
  <si>
    <t>Karl-Wolff-Straße 11</t>
  </si>
  <si>
    <t>je.naumann@freenet.de</t>
  </si>
  <si>
    <t>Lütticher Straße 5</t>
  </si>
  <si>
    <t>thorben.grosser@gmail.com</t>
  </si>
  <si>
    <t>Seesener Straße 41</t>
  </si>
  <si>
    <t>f.amberger@web.de</t>
  </si>
  <si>
    <t>Giulia  Barile</t>
  </si>
  <si>
    <t>Ritterstraße 127</t>
  </si>
  <si>
    <t>giulia.barile@gmx.de</t>
  </si>
  <si>
    <t>Radolfzeller Straße 38</t>
  </si>
  <si>
    <t>chr.bernecker@gmail.com</t>
  </si>
  <si>
    <t>Stephanos Karagiannis</t>
  </si>
  <si>
    <t>Aderstraße 89</t>
  </si>
  <si>
    <t>stefanos-k88@hotmail.de</t>
  </si>
  <si>
    <t>Julia Löhmar</t>
  </si>
  <si>
    <t>Viktoriastraße 8</t>
  </si>
  <si>
    <t>julia.loehmar@outlook.de / lucius.arndt@outlook.de</t>
  </si>
  <si>
    <t>Julia  Fiedler</t>
  </si>
  <si>
    <t>Lindenstraße 27c</t>
  </si>
  <si>
    <t>julia.k.fiedler@gmail.com</t>
  </si>
  <si>
    <t>Nicolette  Scharpenberg</t>
  </si>
  <si>
    <t>Paul-roosen-Straße 19</t>
  </si>
  <si>
    <t>nicolette@superlative-agency.de</t>
  </si>
  <si>
    <t>Michael Skoczylas</t>
  </si>
  <si>
    <t>Thyraweg 30</t>
  </si>
  <si>
    <t>hm_skoczylas@hotmail.com</t>
  </si>
  <si>
    <t>Emily Max</t>
  </si>
  <si>
    <t>Hauptstraße 6p</t>
  </si>
  <si>
    <t>emily.max1@yahoo.de</t>
  </si>
  <si>
    <t>Philipp Mette</t>
  </si>
  <si>
    <t>Westendstrasse 152</t>
  </si>
  <si>
    <t>mette@mail.de</t>
  </si>
  <si>
    <t>Paul-Robeson.Straße 36</t>
  </si>
  <si>
    <t>christopher-wiegand@web.de</t>
  </si>
  <si>
    <t>Julia Stübinger</t>
  </si>
  <si>
    <t>Maistraße 59</t>
  </si>
  <si>
    <t>Julia.Stuebinger@atkearney.com</t>
  </si>
  <si>
    <t>Oliver und Hanna Bongartz</t>
  </si>
  <si>
    <t>Jordanstr. 12</t>
  </si>
  <si>
    <t>oliver@famboo.de; hanna@redponycreative.com</t>
  </si>
  <si>
    <t>Renate Murtzbauer</t>
  </si>
  <si>
    <t>Jahnstrasse 52</t>
  </si>
  <si>
    <t>mbrealest@gmail.com</t>
  </si>
  <si>
    <t>Erika Sprandel</t>
  </si>
  <si>
    <t>Reichenbachstraße 23</t>
  </si>
  <si>
    <t>kibar777@hotmail.de</t>
  </si>
  <si>
    <t>Kepelerstraße 21</t>
  </si>
  <si>
    <t>rosa.landwehr@gmx.de</t>
  </si>
  <si>
    <t>Balanstrasse 152</t>
  </si>
  <si>
    <t>vroniwaldleben@gmail.com</t>
  </si>
  <si>
    <t>Philipp Köth</t>
  </si>
  <si>
    <t>Bürknerstraße 30</t>
  </si>
  <si>
    <t>pkoethATme.com</t>
  </si>
  <si>
    <t>Westendstrasse 137</t>
  </si>
  <si>
    <t xml:space="preserve"> lietz.lisa@gmail.com</t>
  </si>
  <si>
    <t>Manuel  Jung</t>
  </si>
  <si>
    <t>sam’s living GbR</t>
  </si>
  <si>
    <t>Im Heidegraben 24</t>
  </si>
  <si>
    <t>m.jung@samsliving.de</t>
  </si>
  <si>
    <t>Donata  Kramarz</t>
  </si>
  <si>
    <t>Dolziger Straße 37</t>
  </si>
  <si>
    <t>donatakramarz@gmail.com</t>
  </si>
  <si>
    <t>Alteburger Str 62</t>
  </si>
  <si>
    <t>julesauter@web.de</t>
  </si>
  <si>
    <t>Auf der Ruhr 9-11</t>
  </si>
  <si>
    <t>malteschubert@web.de</t>
  </si>
  <si>
    <t>Günter Kraft</t>
  </si>
  <si>
    <t>Ackerstraße 1</t>
  </si>
  <si>
    <t>guenter.kraft@gmail.com</t>
  </si>
  <si>
    <t>Lars Klingelhöfer</t>
  </si>
  <si>
    <t>Apenrader Straße 8</t>
  </si>
  <si>
    <t>lars_klingelhoefer@web.de</t>
  </si>
  <si>
    <t>Ralf  Müller</t>
  </si>
  <si>
    <t>Schuhmacherring 68</t>
  </si>
  <si>
    <t>50829</t>
  </si>
  <si>
    <t>0163mueller@gmail.com</t>
  </si>
  <si>
    <t>Fehrbelliner Straße 85</t>
  </si>
  <si>
    <t>norbert.sarkoezi@gmail.com</t>
  </si>
  <si>
    <t>Ralf Könnecke</t>
  </si>
  <si>
    <t>Grünewaldstraße 6</t>
  </si>
  <si>
    <t>ralfkoennecke@t-online.de</t>
  </si>
  <si>
    <t>Rheinstrasse 26</t>
  </si>
  <si>
    <t>gammel.katharina@gmail.com</t>
  </si>
  <si>
    <t>Hans Heusgen</t>
  </si>
  <si>
    <t>Seewiesstr. 27b</t>
  </si>
  <si>
    <t>hans.heusgen@compass-team.com ; bzw. vor Ort: bell.knut@arcor.de</t>
  </si>
  <si>
    <t>David  Küpper</t>
  </si>
  <si>
    <t>Kettengasse 1</t>
  </si>
  <si>
    <t>50672</t>
  </si>
  <si>
    <t>kuepper.david@bcg.com</t>
  </si>
  <si>
    <t>Ackerstraße 21</t>
  </si>
  <si>
    <t>grenda.david@gmail.com</t>
  </si>
  <si>
    <t xml:space="preserve">Thomas  Rückert </t>
  </si>
  <si>
    <t>Simon-Meister-Str. 40</t>
  </si>
  <si>
    <t>50733</t>
  </si>
  <si>
    <t>trueckert@web.de / truecker@ford.com</t>
  </si>
  <si>
    <t>Oliver Struch</t>
  </si>
  <si>
    <t>Wertheim Boarding House GmbH</t>
  </si>
  <si>
    <t>Hansaring 12</t>
  </si>
  <si>
    <t xml:space="preserve">kathrin@wertheim-cologne.com, oliver@wertheim-cologne.com
</t>
  </si>
  <si>
    <t>Manuela  Keßler</t>
  </si>
  <si>
    <t>Gustav Pönsgen Str 51</t>
  </si>
  <si>
    <t>40215 </t>
  </si>
  <si>
    <t>kessler_manuela@yahoo.de</t>
  </si>
  <si>
    <t>Heckscherstraße 53,</t>
  </si>
  <si>
    <t>info@nb360grad.de</t>
  </si>
  <si>
    <t>Daniel Buchmann</t>
  </si>
  <si>
    <t>Chantzis - Buchmann GbR</t>
  </si>
  <si>
    <t>Hunsrückenstr. 15</t>
  </si>
  <si>
    <t>buchmannn@hotmail.com, vangelischantzis@gmail.com</t>
  </si>
  <si>
    <t>Martin Kiene</t>
  </si>
  <si>
    <t xml:space="preserve">Martin Keine
</t>
  </si>
  <si>
    <t>Jürgensplatz 56</t>
  </si>
  <si>
    <t>martin@kiene-consult.de</t>
  </si>
  <si>
    <t>Stephanie  Bug</t>
  </si>
  <si>
    <t>52 Grasmere Way</t>
  </si>
  <si>
    <t>08540</t>
  </si>
  <si>
    <t>stephanie.bug@gmx.de</t>
  </si>
  <si>
    <t>Marc-Chagall-Straße 42</t>
  </si>
  <si>
    <t>marcseeger@web.de</t>
  </si>
  <si>
    <t>Fehmarner Str. 19</t>
  </si>
  <si>
    <t>flaviatore@gmail.com</t>
  </si>
  <si>
    <t>Greifenhagener Straße 8</t>
  </si>
  <si>
    <t>valerieludwig89@gmail.com</t>
  </si>
  <si>
    <t>Degerstrasse 4</t>
  </si>
  <si>
    <t>fp.neubert@gmx.de</t>
  </si>
  <si>
    <t>Revalerstrasse 10</t>
  </si>
  <si>
    <t>info@katjasterzenbach.com</t>
  </si>
  <si>
    <t>Jörg Hempelmann</t>
  </si>
  <si>
    <t>Pfälzer Str. 18</t>
  </si>
  <si>
    <t>50677</t>
  </si>
  <si>
    <t>hempelmannj@gmailcom</t>
  </si>
  <si>
    <t>Friedenheimer Straße 7</t>
  </si>
  <si>
    <t>elena.sadkov@gmx.de</t>
  </si>
  <si>
    <t xml:space="preserve">KF-Projekte Immobilien GmbH
</t>
  </si>
  <si>
    <t>Finkenhofstr. 11</t>
  </si>
  <si>
    <t>karin.fuhrberg@t-online.de</t>
  </si>
  <si>
    <t>Robert Lepiarczyk</t>
  </si>
  <si>
    <t>Schuhmannstrasse 45</t>
  </si>
  <si>
    <t>robert.lepiarczyk@gmail.com</t>
  </si>
  <si>
    <t>Gärtnerstraße 28</t>
  </si>
  <si>
    <t>ben@yawido.de</t>
  </si>
  <si>
    <t>Via dei Colli 4</t>
  </si>
  <si>
    <t>gaia.turilli2@gmail.com</t>
  </si>
  <si>
    <t>Katja  Lobinski</t>
  </si>
  <si>
    <t>Niederbarnimstraße 10</t>
  </si>
  <si>
    <t>kaja.kuhl@gmail.com</t>
  </si>
  <si>
    <t>Marc André  Sanden</t>
  </si>
  <si>
    <t>Holzhausenstrasse 81</t>
  </si>
  <si>
    <t>marc_sanden@gmx.net</t>
  </si>
  <si>
    <t>Andreas Paciorek</t>
  </si>
  <si>
    <t>Weilburger Str. 40a</t>
  </si>
  <si>
    <t>apaciorek@yahoo.de</t>
  </si>
  <si>
    <t>Conrad-Blenkle-Straße 65</t>
  </si>
  <si>
    <t>grohsnick@gmail.com</t>
  </si>
  <si>
    <t>Keuslinstrasse 13</t>
  </si>
  <si>
    <t>80798</t>
  </si>
  <si>
    <t>tinarenger@gmx.de</t>
  </si>
  <si>
    <t>Jan Philipp Martini</t>
  </si>
  <si>
    <t>Kurze Straße 11</t>
  </si>
  <si>
    <t>janphilippmartini@gmail.com</t>
  </si>
  <si>
    <t>Oelkersallee 61</t>
  </si>
  <si>
    <t>'desiree.ludewig@gmail.com</t>
  </si>
  <si>
    <t>BBH JU GbR c/o Ballhausen</t>
  </si>
  <si>
    <t>Diedendorfer Str. 7</t>
  </si>
  <si>
    <t>svenurselmann@gmail.com</t>
  </si>
  <si>
    <t>Alicenstraße 26</t>
  </si>
  <si>
    <t>Johanna.Ahlbrecht@telekom.de</t>
  </si>
  <si>
    <t>Michaela Wittgenstein</t>
  </si>
  <si>
    <t>Georgenstrasse 62</t>
  </si>
  <si>
    <t>princesse.msw@gmail.com</t>
  </si>
  <si>
    <t>Adelgundenstr. 5a</t>
  </si>
  <si>
    <t>nhartung@web.de</t>
  </si>
  <si>
    <t>Pfarrstraße 122</t>
  </si>
  <si>
    <t>noreenreiter@gmx.de</t>
  </si>
  <si>
    <t>Liz Best</t>
  </si>
  <si>
    <t>Höhenstr. 5</t>
  </si>
  <si>
    <t>pit_best@yahoo.de</t>
  </si>
  <si>
    <t xml:space="preserve">James Smith </t>
  </si>
  <si>
    <t>Köpenicker Straße 55</t>
  </si>
  <si>
    <t>james.smith.london@gmail.com</t>
  </si>
  <si>
    <t>Amalienstraße 89</t>
  </si>
  <si>
    <t>lobez@tcd.ie</t>
  </si>
  <si>
    <t>Geibelstraße 58</t>
  </si>
  <si>
    <t>philipp.pierow@me.com</t>
  </si>
  <si>
    <t>Lessingstraße 6</t>
  </si>
  <si>
    <t>selinverger@googlemail.com</t>
  </si>
  <si>
    <t>Heerstraße 108</t>
  </si>
  <si>
    <t>ozils@gmx.de</t>
  </si>
  <si>
    <t>Yildirim  Balci</t>
  </si>
  <si>
    <t>Grünigweg 25</t>
  </si>
  <si>
    <t>yb@evagency.de</t>
  </si>
  <si>
    <t xml:space="preserve">Martin Hofstetter </t>
  </si>
  <si>
    <t>X</t>
  </si>
  <si>
    <t>Philipp Demgenski</t>
  </si>
  <si>
    <t>Wir haben Verfügbarketien falsch eingetragen und der Gast musste sich in der letzten Nacht die Wohnung mit Langzeitmietern teilen, die dann schon eingezogen waren. Hat sich vortrefflich drüber aufgeregt</t>
  </si>
  <si>
    <t>Entschädigung, weil die Internet nicht während des Aufenthalts funkionierte</t>
  </si>
  <si>
    <t>Clean letzten Freitag wurde nicht richtig durchgeführt.</t>
  </si>
  <si>
    <t>Arne Jacobs</t>
  </si>
  <si>
    <t>-</t>
  </si>
  <si>
    <t>Erstattung des Aufladegerätes aus Glas</t>
  </si>
  <si>
    <t>Sohee Park</t>
  </si>
  <si>
    <t>50% der Reinigungsgebühr, weil die Sauberkeit nicht zufriedenstellend war</t>
  </si>
  <si>
    <t>Maria Schnitker-Münnich</t>
  </si>
  <si>
    <t>25% einer Nacht geschenkt</t>
  </si>
  <si>
    <t>25% Nachlass für den Gast, weil Dusche nicht geht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</si>
</sst>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3" formatCode="_-* #,##0.00\ _€_-;\-* #,##0.00\ _€_-;_-* &quot;-&quot;??\ _€_-;_-@_-"/>
    <numFmt numFmtId="164" formatCode="#,##0.00\ &quot;€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A7BB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20">
    <xf numFmtId="0" fontId="0" fillId="0" borderId="0" xfId="0"/>
    <xf numFmtId="0" fontId="23" fillId="33" borderId="10" xfId="0" applyFont="1" applyFill="1" applyBorder="1" applyAlignment="1">
      <alignment horizontal="center" vertical="center" wrapText="1"/>
    </xf>
    <xf numFmtId="0" fontId="24" fillId="35" borderId="10" xfId="0" applyFont="1" applyFill="1" applyBorder="1" applyAlignment="1">
      <alignment horizontal="center" vertical="center" wrapText="1"/>
    </xf>
    <xf numFmtId="0" fontId="24" fillId="34" borderId="10" xfId="0" applyFont="1" applyFill="1" applyBorder="1" applyAlignment="1">
      <alignment horizontal="center" vertical="center" wrapText="1"/>
    </xf>
    <xf numFmtId="14" fontId="24" fillId="35" borderId="10" xfId="0" applyNumberFormat="1" applyFont="1" applyFill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0" fillId="0" borderId="0" xfId="0" applyNumberFormat="1"/>
    <xf numFmtId="14" fontId="24" fillId="34" borderId="10" xfId="0" applyNumberFormat="1" applyFont="1" applyFill="1" applyBorder="1" applyAlignment="1">
      <alignment horizontal="center" vertical="center" wrapText="1"/>
    </xf>
    <xf numFmtId="164" fontId="24" fillId="34" borderId="10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26" fillId="35" borderId="0" xfId="0" applyFont="1" applyFill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2" fontId="0" fillId="0" borderId="0" xfId="0" applyNumberFormat="1"/>
    <xf numFmtId="8" fontId="25" fillId="0" borderId="0" xfId="0" applyNumberFormat="1" applyFont="1"/>
    <xf numFmtId="9" fontId="25" fillId="0" borderId="0" xfId="0" applyNumberFormat="1" applyFont="1"/>
  </cellXfs>
  <cellStyles count="60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Hyperlink" xfId="49" builtinId="9" hidden="1"/>
    <cellStyle name="Besuchter Hyperlink" xfId="51" builtinId="9" hidden="1"/>
    <cellStyle name="Besuchter Hyperlink" xfId="53" builtinId="9" hidden="1"/>
    <cellStyle name="Besuchter Hyperlink" xfId="55" builtinId="9" hidden="1"/>
    <cellStyle name="Besuchter Hyperlink" xfId="57" builtinId="9" hidden="1"/>
    <cellStyle name="Besuchter Hyperlink" xfId="59" builtinId="9" hidden="1"/>
    <cellStyle name="Comma 2" xfId="44" xr:uid="{00000000-0005-0000-0000-000020000000}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 2" xfId="45" xr:uid="{00000000-0005-0000-0000-00002B000000}"/>
    <cellStyle name="Link" xfId="48" builtinId="8" hidden="1"/>
    <cellStyle name="Link" xfId="50" builtinId="8" hidden="1"/>
    <cellStyle name="Link" xfId="52" builtinId="8" hidden="1"/>
    <cellStyle name="Link" xfId="54" builtinId="8" hidden="1"/>
    <cellStyle name="Link" xfId="56" builtinId="8" hidden="1"/>
    <cellStyle name="Link" xfId="58" builtinId="8" hidden="1"/>
    <cellStyle name="Link 3" xfId="47" xr:uid="{00000000-0005-0000-0000-00002C000000}"/>
    <cellStyle name="Neutral" xfId="8" builtinId="28" customBuiltin="1"/>
    <cellStyle name="Normal 2" xfId="42" xr:uid="{00000000-0005-0000-0000-00002E000000}"/>
    <cellStyle name="Notiz" xfId="15" builtinId="10" customBuiltin="1"/>
    <cellStyle name="Percent 2" xfId="43" xr:uid="{00000000-0005-0000-0000-000030000000}"/>
    <cellStyle name="Schlecht" xfId="7" builtinId="27" customBuiltin="1"/>
    <cellStyle name="Standard" xfId="0" builtinId="0"/>
    <cellStyle name="Standard 12" xfId="46" xr:uid="{00000000-0005-0000-0000-000034000000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colors>
    <mruColors>
      <color rgb="FF00A7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400050</xdr:colOff>
          <xdr:row>2</xdr:row>
          <xdr:rowOff>38100</xdr:rowOff>
        </xdr:from>
        <xdr:to>
          <xdr:col>38</xdr:col>
          <xdr:colOff>504825</xdr:colOff>
          <xdr:row>14</xdr:row>
          <xdr:rowOff>133350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D8667-D334-453C-8B9F-99EC60B29F43}">
  <sheetPr codeName="Tabelle1"/>
  <dimension ref="C2:C3"/>
  <sheetViews>
    <sheetView workbookViewId="0">
      <selection activeCell="C8" sqref="C8"/>
    </sheetView>
  </sheetViews>
  <sheetFormatPr baseColWidth="10" defaultRowHeight="15" x14ac:dyDescent="0.25"/>
  <cols>
    <col min="3" max="3" width="40.5703125" bestFit="1" customWidth="1"/>
  </cols>
  <sheetData>
    <row r="2" spans="3:3" x14ac:dyDescent="0.25">
      <c r="C2" t="s">
        <v>843</v>
      </c>
    </row>
    <row r="3" spans="3:3" x14ac:dyDescent="0.25">
      <c r="C3" s="13" t="s">
        <v>842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00A7BB"/>
  </sheetPr>
  <dimension ref="A1:AK346"/>
  <sheetViews>
    <sheetView tabSelected="1" zoomScale="80" zoomScaleNormal="80" zoomScalePageLayoutView="90" workbookViewId="0">
      <pane ySplit="1" topLeftCell="A2" activePane="bottomLeft" state="frozen"/>
      <selection activeCell="G1" sqref="G1"/>
      <selection pane="bottomLeft" activeCell="A345" sqref="A345"/>
    </sheetView>
  </sheetViews>
  <sheetFormatPr baseColWidth="10" defaultColWidth="8.85546875" defaultRowHeight="15" x14ac:dyDescent="0.25"/>
  <cols>
    <col min="1" max="11" width="14.85546875" style="5" customWidth="1"/>
    <col min="12" max="12" width="16.28515625" style="5" bestFit="1" customWidth="1"/>
    <col min="13" max="13" width="21" style="5" bestFit="1" customWidth="1"/>
    <col min="14" max="16" width="14.85546875" style="5" customWidth="1"/>
    <col min="17" max="18" width="14.85546875" style="8" customWidth="1"/>
    <col min="19" max="19" width="25.28515625" style="5" customWidth="1"/>
    <col min="20" max="21" width="25.28515625" style="6" customWidth="1"/>
    <col min="22" max="23" width="14.85546875" style="7" customWidth="1"/>
    <col min="24" max="24" width="25.28515625" style="8" bestFit="1" customWidth="1"/>
    <col min="25" max="28" width="14.85546875" style="8" customWidth="1"/>
    <col min="29" max="29" width="21.140625" style="5" bestFit="1" customWidth="1"/>
    <col min="30" max="30" width="25.28515625" style="5" bestFit="1" customWidth="1"/>
    <col min="31" max="32" width="20.5703125" style="5" customWidth="1"/>
    <col min="33" max="33" width="20.85546875" style="5" customWidth="1"/>
    <col min="34" max="34" width="25.28515625" style="5" bestFit="1" customWidth="1"/>
    <col min="35" max="35" width="14.85546875" style="6" customWidth="1"/>
    <col min="36" max="16384" width="8.85546875" style="5"/>
  </cols>
  <sheetData>
    <row r="1" spans="1:35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6</v>
      </c>
      <c r="I1" s="1" t="s">
        <v>8</v>
      </c>
      <c r="J1" s="1" t="s">
        <v>85</v>
      </c>
      <c r="K1" s="3" t="s">
        <v>87</v>
      </c>
      <c r="L1" s="3" t="s">
        <v>88</v>
      </c>
      <c r="M1" s="3" t="s">
        <v>98</v>
      </c>
      <c r="N1" s="3" t="s">
        <v>93</v>
      </c>
      <c r="O1" s="3" t="s">
        <v>94</v>
      </c>
      <c r="P1" s="3" t="s">
        <v>95</v>
      </c>
      <c r="Q1" s="3" t="s">
        <v>96</v>
      </c>
      <c r="R1" s="16" t="s">
        <v>91</v>
      </c>
      <c r="S1" s="3" t="s">
        <v>99</v>
      </c>
      <c r="T1" s="10" t="s">
        <v>100</v>
      </c>
      <c r="U1" s="10" t="s">
        <v>101</v>
      </c>
      <c r="V1" s="11" t="s">
        <v>79</v>
      </c>
      <c r="W1" s="11" t="s">
        <v>80</v>
      </c>
      <c r="X1" s="3" t="s">
        <v>81</v>
      </c>
      <c r="Y1" s="3" t="s">
        <v>82</v>
      </c>
      <c r="Z1" s="3" t="s">
        <v>84</v>
      </c>
      <c r="AA1" s="3" t="s">
        <v>83</v>
      </c>
      <c r="AB1" s="3" t="s">
        <v>86</v>
      </c>
      <c r="AC1" s="2" t="s">
        <v>92</v>
      </c>
      <c r="AD1" s="2" t="s">
        <v>97</v>
      </c>
      <c r="AE1" s="2" t="s">
        <v>102</v>
      </c>
      <c r="AF1" s="3" t="s">
        <v>104</v>
      </c>
      <c r="AG1" s="2" t="s">
        <v>103</v>
      </c>
      <c r="AH1" s="2" t="s">
        <v>90</v>
      </c>
      <c r="AI1" s="4" t="s">
        <v>89</v>
      </c>
    </row>
    <row r="2" spans="1:35" customFormat="1" x14ac:dyDescent="0.25">
      <c r="A2" t="s">
        <v>11</v>
      </c>
      <c r="B2" t="s">
        <v>105</v>
      </c>
      <c r="C2" t="s">
        <v>106</v>
      </c>
      <c r="D2" s="9">
        <v>42976</v>
      </c>
      <c r="E2" s="9">
        <v>43026</v>
      </c>
      <c r="F2">
        <v>2978</v>
      </c>
      <c r="H2">
        <v>35</v>
      </c>
      <c r="I2" t="s">
        <v>107</v>
      </c>
      <c r="J2">
        <v>60005</v>
      </c>
      <c r="K2" t="s">
        <v>11</v>
      </c>
      <c r="L2" t="s">
        <v>844</v>
      </c>
      <c r="M2" t="s">
        <v>845</v>
      </c>
      <c r="N2" t="s">
        <v>846</v>
      </c>
      <c r="O2" s="14">
        <v>59510</v>
      </c>
      <c r="P2" t="s">
        <v>847</v>
      </c>
      <c r="Q2" s="15" t="s">
        <v>848</v>
      </c>
      <c r="R2" s="15" t="s">
        <v>849</v>
      </c>
      <c r="S2" t="s">
        <v>106</v>
      </c>
      <c r="T2" s="9">
        <v>42976</v>
      </c>
      <c r="U2" s="9">
        <v>43026</v>
      </c>
      <c r="V2" s="12">
        <v>2978</v>
      </c>
      <c r="W2" s="12">
        <v>35</v>
      </c>
      <c r="X2" s="17">
        <v>0.25</v>
      </c>
      <c r="Y2">
        <v>735.75</v>
      </c>
      <c r="Z2" s="12">
        <v>770.75</v>
      </c>
      <c r="AA2" s="12">
        <v>123.06092436974789</v>
      </c>
      <c r="AB2" s="12">
        <v>2172.25</v>
      </c>
      <c r="AF2" s="18">
        <f>AE2/119*19</f>
        <v>0</v>
      </c>
    </row>
    <row r="3" spans="1:35" customFormat="1" x14ac:dyDescent="0.25">
      <c r="A3" t="s">
        <v>12</v>
      </c>
      <c r="B3" t="s">
        <v>108</v>
      </c>
      <c r="C3" t="s">
        <v>109</v>
      </c>
      <c r="D3" s="9">
        <v>42996</v>
      </c>
      <c r="E3" s="9">
        <v>43015</v>
      </c>
      <c r="F3">
        <v>1423</v>
      </c>
      <c r="G3">
        <v>-1</v>
      </c>
      <c r="H3">
        <v>50</v>
      </c>
      <c r="I3" t="s">
        <v>110</v>
      </c>
      <c r="J3">
        <v>50037</v>
      </c>
      <c r="K3" t="s">
        <v>12</v>
      </c>
      <c r="L3" t="s">
        <v>850</v>
      </c>
      <c r="M3" t="s">
        <v>850</v>
      </c>
      <c r="N3" t="s">
        <v>851</v>
      </c>
      <c r="O3" s="14">
        <v>31185</v>
      </c>
      <c r="P3" t="s">
        <v>852</v>
      </c>
      <c r="Q3" s="15" t="s">
        <v>849</v>
      </c>
      <c r="R3" s="15" t="s">
        <v>848</v>
      </c>
      <c r="S3" t="s">
        <v>109</v>
      </c>
      <c r="T3" s="9">
        <v>42996</v>
      </c>
      <c r="U3" s="9">
        <v>43015</v>
      </c>
      <c r="V3" s="12">
        <v>1423</v>
      </c>
      <c r="W3" s="12">
        <v>50</v>
      </c>
      <c r="X3" s="17">
        <v>0.25</v>
      </c>
      <c r="Y3">
        <v>343.25</v>
      </c>
      <c r="Z3" s="12">
        <v>393.25</v>
      </c>
      <c r="AA3" s="12">
        <v>62.787815126050418</v>
      </c>
      <c r="AB3" s="12">
        <v>979.75</v>
      </c>
      <c r="AF3" s="18">
        <f t="shared" ref="AF3:AF66" si="0">AE3/119*19</f>
        <v>0</v>
      </c>
    </row>
    <row r="4" spans="1:35" customFormat="1" x14ac:dyDescent="0.25">
      <c r="A4" t="s">
        <v>12</v>
      </c>
      <c r="B4" t="s">
        <v>41</v>
      </c>
      <c r="C4" t="s">
        <v>111</v>
      </c>
      <c r="D4" s="9">
        <v>43005</v>
      </c>
      <c r="E4" s="9">
        <v>43009</v>
      </c>
      <c r="F4">
        <v>338</v>
      </c>
      <c r="G4">
        <v>1</v>
      </c>
      <c r="H4">
        <v>35</v>
      </c>
      <c r="I4" t="s">
        <v>112</v>
      </c>
      <c r="J4">
        <v>50027</v>
      </c>
      <c r="K4" t="s">
        <v>12</v>
      </c>
      <c r="L4" t="s">
        <v>853</v>
      </c>
      <c r="M4" t="s">
        <v>41</v>
      </c>
      <c r="N4" t="s">
        <v>854</v>
      </c>
      <c r="O4" s="14">
        <v>25980</v>
      </c>
      <c r="P4" t="s">
        <v>855</v>
      </c>
      <c r="Q4" s="15" t="s">
        <v>849</v>
      </c>
      <c r="R4" s="15" t="s">
        <v>848</v>
      </c>
      <c r="S4" t="s">
        <v>111</v>
      </c>
      <c r="T4" s="9">
        <v>43005</v>
      </c>
      <c r="U4" s="9">
        <v>43009</v>
      </c>
      <c r="V4" s="12">
        <v>338</v>
      </c>
      <c r="W4" s="12">
        <v>35</v>
      </c>
      <c r="X4" s="17">
        <v>0.25</v>
      </c>
      <c r="Y4">
        <v>75.75</v>
      </c>
      <c r="Z4" s="12">
        <v>110.75</v>
      </c>
      <c r="AA4" s="12">
        <v>17.682773109243698</v>
      </c>
      <c r="AB4" s="12">
        <v>192.25</v>
      </c>
      <c r="AF4" s="18">
        <f t="shared" si="0"/>
        <v>0</v>
      </c>
    </row>
    <row r="5" spans="1:35" customFormat="1" x14ac:dyDescent="0.25">
      <c r="A5" t="s">
        <v>11</v>
      </c>
      <c r="B5" t="s">
        <v>113</v>
      </c>
      <c r="C5" t="s">
        <v>114</v>
      </c>
      <c r="D5" s="9">
        <v>43005</v>
      </c>
      <c r="E5" s="9">
        <v>43009</v>
      </c>
      <c r="F5">
        <v>912</v>
      </c>
      <c r="H5">
        <v>65</v>
      </c>
      <c r="I5" t="s">
        <v>115</v>
      </c>
      <c r="J5">
        <v>10101</v>
      </c>
      <c r="K5" t="s">
        <v>11</v>
      </c>
      <c r="L5" t="s">
        <v>856</v>
      </c>
      <c r="M5" t="s">
        <v>856</v>
      </c>
      <c r="N5" t="s">
        <v>857</v>
      </c>
      <c r="O5" s="14" t="s">
        <v>858</v>
      </c>
      <c r="P5" t="s">
        <v>859</v>
      </c>
      <c r="Q5" s="15" t="s">
        <v>848</v>
      </c>
      <c r="R5" s="15" t="s">
        <v>849</v>
      </c>
      <c r="S5" t="s">
        <v>114</v>
      </c>
      <c r="T5" s="9">
        <v>43005</v>
      </c>
      <c r="U5" s="9">
        <v>43009</v>
      </c>
      <c r="V5" s="12">
        <v>912</v>
      </c>
      <c r="W5" s="12">
        <v>65</v>
      </c>
      <c r="X5" s="17">
        <v>0.25</v>
      </c>
      <c r="Y5">
        <v>211.75</v>
      </c>
      <c r="Z5" s="12">
        <v>276.75</v>
      </c>
      <c r="AA5" s="12">
        <v>44.186974789915972</v>
      </c>
      <c r="AB5" s="12">
        <v>570.25</v>
      </c>
      <c r="AF5" s="18">
        <f t="shared" si="0"/>
        <v>0</v>
      </c>
    </row>
    <row r="6" spans="1:35" customFormat="1" x14ac:dyDescent="0.25">
      <c r="A6" t="s">
        <v>15</v>
      </c>
      <c r="B6" t="s">
        <v>116</v>
      </c>
      <c r="C6" t="s">
        <v>117</v>
      </c>
      <c r="D6" s="9">
        <v>43005</v>
      </c>
      <c r="E6" s="9">
        <v>43009</v>
      </c>
      <c r="F6">
        <v>371</v>
      </c>
      <c r="G6" t="s">
        <v>118</v>
      </c>
      <c r="H6">
        <v>50</v>
      </c>
      <c r="I6" t="s">
        <v>119</v>
      </c>
      <c r="J6">
        <v>30026</v>
      </c>
      <c r="K6" t="s">
        <v>15</v>
      </c>
      <c r="L6" t="s">
        <v>116</v>
      </c>
      <c r="M6" t="s">
        <v>116</v>
      </c>
      <c r="N6" t="s">
        <v>860</v>
      </c>
      <c r="O6" s="14">
        <v>40235</v>
      </c>
      <c r="P6" t="s">
        <v>861</v>
      </c>
      <c r="Q6" s="15" t="s">
        <v>848</v>
      </c>
      <c r="R6" s="15" t="s">
        <v>849</v>
      </c>
      <c r="S6" t="s">
        <v>117</v>
      </c>
      <c r="T6" s="9">
        <v>43005</v>
      </c>
      <c r="U6" s="9">
        <v>43009</v>
      </c>
      <c r="V6" s="12">
        <v>371</v>
      </c>
      <c r="W6" s="12">
        <v>50</v>
      </c>
      <c r="X6" s="17">
        <v>0.25</v>
      </c>
      <c r="Y6">
        <v>80.25</v>
      </c>
      <c r="Z6" s="12">
        <v>130.25</v>
      </c>
      <c r="AA6" s="12">
        <v>20.79621848739496</v>
      </c>
      <c r="AB6" s="12">
        <v>190.75</v>
      </c>
      <c r="AF6" s="18">
        <f t="shared" si="0"/>
        <v>0</v>
      </c>
    </row>
    <row r="7" spans="1:35" customFormat="1" x14ac:dyDescent="0.25">
      <c r="A7" t="s">
        <v>12</v>
      </c>
      <c r="B7" t="s">
        <v>33</v>
      </c>
      <c r="C7" t="s">
        <v>120</v>
      </c>
      <c r="D7" s="9">
        <v>43006</v>
      </c>
      <c r="E7" s="9">
        <v>43010</v>
      </c>
      <c r="F7">
        <v>286</v>
      </c>
      <c r="H7">
        <v>30</v>
      </c>
      <c r="I7" t="s">
        <v>121</v>
      </c>
      <c r="J7">
        <v>50005</v>
      </c>
      <c r="K7" t="s">
        <v>12</v>
      </c>
      <c r="L7" t="s">
        <v>33</v>
      </c>
      <c r="M7" t="s">
        <v>33</v>
      </c>
      <c r="N7" t="s">
        <v>862</v>
      </c>
      <c r="O7" s="14">
        <v>20359</v>
      </c>
      <c r="P7" t="s">
        <v>863</v>
      </c>
      <c r="Q7" s="15" t="s">
        <v>848</v>
      </c>
      <c r="R7" s="15" t="s">
        <v>849</v>
      </c>
      <c r="S7" t="s">
        <v>120</v>
      </c>
      <c r="T7" s="9">
        <v>43006</v>
      </c>
      <c r="U7" s="9">
        <v>43010</v>
      </c>
      <c r="V7" s="12">
        <v>286</v>
      </c>
      <c r="W7" s="12">
        <v>30</v>
      </c>
      <c r="X7" s="17">
        <v>0.25</v>
      </c>
      <c r="Y7">
        <v>64</v>
      </c>
      <c r="Z7" s="12">
        <v>94</v>
      </c>
      <c r="AA7" s="12">
        <v>15.008403361344538</v>
      </c>
      <c r="AB7" s="12">
        <v>162</v>
      </c>
      <c r="AF7" s="18">
        <f t="shared" si="0"/>
        <v>0</v>
      </c>
    </row>
    <row r="8" spans="1:35" customFormat="1" x14ac:dyDescent="0.25">
      <c r="A8" t="s">
        <v>15</v>
      </c>
      <c r="B8" t="s">
        <v>47</v>
      </c>
      <c r="C8" t="s">
        <v>122</v>
      </c>
      <c r="D8" s="9">
        <v>43006</v>
      </c>
      <c r="E8" s="9">
        <v>43010</v>
      </c>
      <c r="F8">
        <v>339</v>
      </c>
      <c r="H8">
        <v>35</v>
      </c>
      <c r="I8" t="s">
        <v>123</v>
      </c>
      <c r="J8">
        <v>30017</v>
      </c>
      <c r="K8" t="s">
        <v>15</v>
      </c>
      <c r="L8" t="s">
        <v>864</v>
      </c>
      <c r="M8" t="s">
        <v>864</v>
      </c>
      <c r="N8" t="s">
        <v>865</v>
      </c>
      <c r="O8" s="14">
        <v>40227</v>
      </c>
      <c r="P8" t="s">
        <v>866</v>
      </c>
      <c r="Q8" s="15" t="s">
        <v>848</v>
      </c>
      <c r="R8" s="15" t="s">
        <v>849</v>
      </c>
      <c r="S8" t="s">
        <v>122</v>
      </c>
      <c r="T8" s="9">
        <v>43006</v>
      </c>
      <c r="U8" s="9">
        <v>43010</v>
      </c>
      <c r="V8" s="12">
        <v>339</v>
      </c>
      <c r="W8" s="12">
        <v>35</v>
      </c>
      <c r="X8" s="17">
        <v>0.25</v>
      </c>
      <c r="Y8">
        <v>76</v>
      </c>
      <c r="Z8" s="12">
        <v>111</v>
      </c>
      <c r="AA8" s="12">
        <v>17.722689075630253</v>
      </c>
      <c r="AB8" s="12">
        <v>193</v>
      </c>
      <c r="AF8" s="18">
        <f t="shared" si="0"/>
        <v>0</v>
      </c>
    </row>
    <row r="9" spans="1:35" customFormat="1" x14ac:dyDescent="0.25">
      <c r="A9" t="s">
        <v>11</v>
      </c>
      <c r="B9" t="s">
        <v>76</v>
      </c>
      <c r="C9" t="s">
        <v>124</v>
      </c>
      <c r="D9" s="9">
        <v>43006</v>
      </c>
      <c r="E9" s="9">
        <v>43009</v>
      </c>
      <c r="F9">
        <v>506</v>
      </c>
      <c r="G9">
        <v>1</v>
      </c>
      <c r="H9">
        <v>30</v>
      </c>
      <c r="I9" t="s">
        <v>125</v>
      </c>
      <c r="J9">
        <v>10054</v>
      </c>
      <c r="K9" t="s">
        <v>11</v>
      </c>
      <c r="L9" t="s">
        <v>76</v>
      </c>
      <c r="M9" t="s">
        <v>76</v>
      </c>
      <c r="N9" t="s">
        <v>867</v>
      </c>
      <c r="O9" s="14">
        <v>80333</v>
      </c>
      <c r="P9" t="s">
        <v>868</v>
      </c>
      <c r="Q9" s="15" t="s">
        <v>848</v>
      </c>
      <c r="R9" s="15" t="s">
        <v>849</v>
      </c>
      <c r="S9" t="s">
        <v>124</v>
      </c>
      <c r="T9" s="9">
        <v>43006</v>
      </c>
      <c r="U9" s="9">
        <v>43009</v>
      </c>
      <c r="V9" s="12">
        <v>506</v>
      </c>
      <c r="W9" s="12">
        <v>30</v>
      </c>
      <c r="X9" s="17">
        <v>0.25</v>
      </c>
      <c r="Y9">
        <v>119</v>
      </c>
      <c r="Z9" s="12">
        <v>149</v>
      </c>
      <c r="AA9" s="12">
        <v>23.789915966386555</v>
      </c>
      <c r="AB9" s="12">
        <v>327</v>
      </c>
      <c r="AF9" s="18">
        <f t="shared" si="0"/>
        <v>0</v>
      </c>
    </row>
    <row r="10" spans="1:35" customFormat="1" x14ac:dyDescent="0.25">
      <c r="A10" t="s">
        <v>11</v>
      </c>
      <c r="B10" t="s">
        <v>69</v>
      </c>
      <c r="C10" t="s">
        <v>126</v>
      </c>
      <c r="D10" s="9">
        <v>43006</v>
      </c>
      <c r="E10" s="9">
        <v>43010</v>
      </c>
      <c r="F10">
        <v>906</v>
      </c>
      <c r="G10">
        <v>1</v>
      </c>
      <c r="H10">
        <v>40</v>
      </c>
      <c r="I10" t="s">
        <v>127</v>
      </c>
      <c r="J10">
        <v>10098</v>
      </c>
      <c r="K10" t="s">
        <v>11</v>
      </c>
      <c r="L10" t="s">
        <v>869</v>
      </c>
      <c r="M10" t="s">
        <v>869</v>
      </c>
      <c r="N10" t="s">
        <v>870</v>
      </c>
      <c r="O10" s="14">
        <v>80469</v>
      </c>
      <c r="P10" t="s">
        <v>871</v>
      </c>
      <c r="Q10" s="15" t="s">
        <v>848</v>
      </c>
      <c r="R10" s="15" t="s">
        <v>849</v>
      </c>
      <c r="S10" t="s">
        <v>126</v>
      </c>
      <c r="T10" s="9">
        <v>43006</v>
      </c>
      <c r="U10" s="9">
        <v>43010</v>
      </c>
      <c r="V10" s="12">
        <v>906</v>
      </c>
      <c r="W10" s="12">
        <v>40</v>
      </c>
      <c r="X10" s="17">
        <v>0.25</v>
      </c>
      <c r="Y10">
        <v>216.5</v>
      </c>
      <c r="Z10" s="12">
        <v>256.5</v>
      </c>
      <c r="AA10" s="12">
        <v>40.95378151260504</v>
      </c>
      <c r="AB10" s="12">
        <v>609.5</v>
      </c>
      <c r="AF10" s="18">
        <f t="shared" si="0"/>
        <v>0</v>
      </c>
    </row>
    <row r="11" spans="1:35" customFormat="1" x14ac:dyDescent="0.25">
      <c r="A11" t="s">
        <v>12</v>
      </c>
      <c r="B11" t="s">
        <v>128</v>
      </c>
      <c r="C11" t="s">
        <v>129</v>
      </c>
      <c r="D11" s="9">
        <v>43006</v>
      </c>
      <c r="E11" s="9">
        <v>43010</v>
      </c>
      <c r="F11">
        <v>317</v>
      </c>
      <c r="G11">
        <v>3</v>
      </c>
      <c r="H11">
        <v>40</v>
      </c>
      <c r="I11" t="s">
        <v>130</v>
      </c>
      <c r="J11">
        <v>50038</v>
      </c>
      <c r="K11" t="s">
        <v>12</v>
      </c>
      <c r="L11" t="s">
        <v>128</v>
      </c>
      <c r="M11" t="s">
        <v>128</v>
      </c>
      <c r="N11" t="s">
        <v>872</v>
      </c>
      <c r="O11" s="14">
        <v>20144</v>
      </c>
      <c r="P11" t="s">
        <v>873</v>
      </c>
      <c r="Q11" s="15" t="s">
        <v>848</v>
      </c>
      <c r="R11" s="15" t="s">
        <v>849</v>
      </c>
      <c r="S11" t="s">
        <v>129</v>
      </c>
      <c r="T11" s="9">
        <v>43006</v>
      </c>
      <c r="U11" s="9">
        <v>43010</v>
      </c>
      <c r="V11" s="12">
        <v>317</v>
      </c>
      <c r="W11" s="12">
        <v>40</v>
      </c>
      <c r="X11" s="17">
        <v>0.25</v>
      </c>
      <c r="Y11">
        <v>69.25</v>
      </c>
      <c r="Z11" s="12">
        <v>109.25</v>
      </c>
      <c r="AA11" s="12">
        <v>17.443277310924369</v>
      </c>
      <c r="AB11" s="12">
        <v>167.75</v>
      </c>
      <c r="AF11" s="18">
        <f t="shared" si="0"/>
        <v>0</v>
      </c>
    </row>
    <row r="12" spans="1:35" customFormat="1" x14ac:dyDescent="0.25">
      <c r="A12" t="s">
        <v>38</v>
      </c>
      <c r="B12" t="s">
        <v>131</v>
      </c>
      <c r="C12" t="s">
        <v>132</v>
      </c>
      <c r="D12" s="9">
        <v>43007</v>
      </c>
      <c r="E12" s="9">
        <v>43009</v>
      </c>
      <c r="F12">
        <v>97</v>
      </c>
      <c r="H12">
        <v>40</v>
      </c>
      <c r="I12" t="s">
        <v>133</v>
      </c>
      <c r="J12">
        <v>40025</v>
      </c>
      <c r="K12" t="s">
        <v>38</v>
      </c>
      <c r="L12" t="s">
        <v>131</v>
      </c>
      <c r="M12" t="s">
        <v>131</v>
      </c>
      <c r="N12" t="s">
        <v>874</v>
      </c>
      <c r="O12" s="14" t="s">
        <v>875</v>
      </c>
      <c r="P12" t="s">
        <v>876</v>
      </c>
      <c r="Q12" s="15" t="s">
        <v>848</v>
      </c>
      <c r="R12" s="15" t="s">
        <v>849</v>
      </c>
      <c r="S12" t="s">
        <v>132</v>
      </c>
      <c r="T12" s="9">
        <v>43007</v>
      </c>
      <c r="U12" s="9">
        <v>43009</v>
      </c>
      <c r="V12" s="12">
        <v>97</v>
      </c>
      <c r="W12" s="12">
        <v>40</v>
      </c>
      <c r="X12" s="17">
        <v>0.25</v>
      </c>
      <c r="Y12">
        <v>14.25</v>
      </c>
      <c r="Z12" s="12">
        <v>54.25</v>
      </c>
      <c r="AA12" s="12">
        <v>8.6617647058823533</v>
      </c>
      <c r="AB12" s="12">
        <v>2.75</v>
      </c>
      <c r="AF12" s="18">
        <f t="shared" si="0"/>
        <v>0</v>
      </c>
    </row>
    <row r="13" spans="1:35" customFormat="1" x14ac:dyDescent="0.25">
      <c r="A13" t="s">
        <v>11</v>
      </c>
      <c r="B13" t="s">
        <v>24</v>
      </c>
      <c r="C13" t="s">
        <v>134</v>
      </c>
      <c r="D13" s="9">
        <v>43007</v>
      </c>
      <c r="E13" s="9">
        <v>43011</v>
      </c>
      <c r="F13">
        <v>528</v>
      </c>
      <c r="G13">
        <v>1</v>
      </c>
      <c r="H13">
        <v>35</v>
      </c>
      <c r="I13" t="s">
        <v>135</v>
      </c>
      <c r="J13">
        <v>10081</v>
      </c>
      <c r="K13" t="s">
        <v>11</v>
      </c>
      <c r="L13" t="s">
        <v>24</v>
      </c>
      <c r="M13" t="s">
        <v>24</v>
      </c>
      <c r="N13" t="s">
        <v>877</v>
      </c>
      <c r="O13" s="14">
        <v>80331</v>
      </c>
      <c r="P13" t="s">
        <v>878</v>
      </c>
      <c r="Q13" s="15" t="s">
        <v>849</v>
      </c>
      <c r="R13" s="15" t="s">
        <v>848</v>
      </c>
      <c r="S13" t="s">
        <v>134</v>
      </c>
      <c r="T13" s="9">
        <v>43007</v>
      </c>
      <c r="U13" s="9">
        <v>43011</v>
      </c>
      <c r="V13" s="12">
        <v>528</v>
      </c>
      <c r="W13" s="12">
        <v>35</v>
      </c>
      <c r="X13" s="17">
        <v>0.25</v>
      </c>
      <c r="Y13">
        <v>123.25</v>
      </c>
      <c r="Z13" s="12">
        <v>158.25</v>
      </c>
      <c r="AA13" s="12">
        <v>25.266806722689076</v>
      </c>
      <c r="AB13" s="12">
        <v>334.75</v>
      </c>
      <c r="AF13" s="18">
        <f t="shared" si="0"/>
        <v>0</v>
      </c>
    </row>
    <row r="14" spans="1:35" customFormat="1" x14ac:dyDescent="0.25">
      <c r="A14" t="s">
        <v>38</v>
      </c>
      <c r="B14" t="s">
        <v>39</v>
      </c>
      <c r="C14" t="s">
        <v>136</v>
      </c>
      <c r="D14" s="9">
        <v>43007</v>
      </c>
      <c r="E14" s="9">
        <v>43009</v>
      </c>
      <c r="F14">
        <v>469</v>
      </c>
      <c r="H14">
        <v>40</v>
      </c>
      <c r="I14" t="s">
        <v>137</v>
      </c>
      <c r="J14">
        <v>40010</v>
      </c>
      <c r="K14" t="s">
        <v>38</v>
      </c>
      <c r="L14" t="s">
        <v>879</v>
      </c>
      <c r="M14" t="s">
        <v>880</v>
      </c>
      <c r="N14" t="s">
        <v>881</v>
      </c>
      <c r="O14" s="14">
        <v>50670</v>
      </c>
      <c r="P14" t="s">
        <v>882</v>
      </c>
      <c r="Q14" s="15" t="s">
        <v>849</v>
      </c>
      <c r="R14" s="15" t="s">
        <v>848</v>
      </c>
      <c r="S14" t="s">
        <v>136</v>
      </c>
      <c r="T14" s="9">
        <v>43007</v>
      </c>
      <c r="U14" s="9">
        <v>43009</v>
      </c>
      <c r="V14" s="12">
        <v>469</v>
      </c>
      <c r="W14" s="12">
        <v>40</v>
      </c>
      <c r="X14" s="17">
        <v>0.2</v>
      </c>
      <c r="Y14">
        <v>85.800000000000011</v>
      </c>
      <c r="Z14" s="12">
        <v>125.80000000000001</v>
      </c>
      <c r="AA14" s="12">
        <v>20.085714285714285</v>
      </c>
      <c r="AB14" s="12">
        <v>303.2</v>
      </c>
      <c r="AF14" s="18">
        <f t="shared" si="0"/>
        <v>0</v>
      </c>
    </row>
    <row r="15" spans="1:35" customFormat="1" x14ac:dyDescent="0.25">
      <c r="A15" t="s">
        <v>31</v>
      </c>
      <c r="B15" t="s">
        <v>32</v>
      </c>
      <c r="C15" t="s">
        <v>138</v>
      </c>
      <c r="D15" s="9">
        <v>43007</v>
      </c>
      <c r="E15" s="9">
        <v>43010</v>
      </c>
      <c r="F15">
        <v>284</v>
      </c>
      <c r="G15">
        <v>1</v>
      </c>
      <c r="H15">
        <v>30</v>
      </c>
      <c r="I15" t="s">
        <v>139</v>
      </c>
      <c r="J15">
        <v>40030</v>
      </c>
      <c r="K15" t="s">
        <v>31</v>
      </c>
      <c r="L15" t="s">
        <v>879</v>
      </c>
      <c r="M15" t="s">
        <v>880</v>
      </c>
      <c r="N15" t="s">
        <v>881</v>
      </c>
      <c r="O15" s="14">
        <v>50670</v>
      </c>
      <c r="P15" t="s">
        <v>882</v>
      </c>
      <c r="Q15" s="15" t="s">
        <v>849</v>
      </c>
      <c r="R15" s="15" t="s">
        <v>848</v>
      </c>
      <c r="S15" t="s">
        <v>138</v>
      </c>
      <c r="T15" s="9">
        <v>43007</v>
      </c>
      <c r="U15" s="9">
        <v>43010</v>
      </c>
      <c r="V15" s="12">
        <v>284</v>
      </c>
      <c r="W15" s="12">
        <v>30</v>
      </c>
      <c r="X15" s="17">
        <v>0.2</v>
      </c>
      <c r="Y15">
        <v>50.800000000000004</v>
      </c>
      <c r="Z15" s="12">
        <v>80.800000000000011</v>
      </c>
      <c r="AA15" s="12">
        <v>12.900840336134456</v>
      </c>
      <c r="AB15" s="12">
        <v>173.2</v>
      </c>
      <c r="AF15" s="18">
        <f t="shared" si="0"/>
        <v>0</v>
      </c>
    </row>
    <row r="16" spans="1:35" customFormat="1" x14ac:dyDescent="0.25">
      <c r="A16" t="s">
        <v>38</v>
      </c>
      <c r="B16" t="s">
        <v>70</v>
      </c>
      <c r="C16" t="s">
        <v>140</v>
      </c>
      <c r="D16" s="9">
        <v>43007</v>
      </c>
      <c r="E16" s="9">
        <v>43010</v>
      </c>
      <c r="F16">
        <v>279</v>
      </c>
      <c r="H16">
        <v>35</v>
      </c>
      <c r="I16" t="s">
        <v>141</v>
      </c>
      <c r="J16">
        <v>40027</v>
      </c>
      <c r="K16" t="s">
        <v>38</v>
      </c>
      <c r="L16" t="s">
        <v>70</v>
      </c>
      <c r="M16" t="s">
        <v>70</v>
      </c>
      <c r="N16" t="s">
        <v>883</v>
      </c>
      <c r="O16" s="14" t="s">
        <v>884</v>
      </c>
      <c r="P16" t="s">
        <v>885</v>
      </c>
      <c r="Q16" s="15" t="s">
        <v>848</v>
      </c>
      <c r="R16" s="15" t="s">
        <v>849</v>
      </c>
      <c r="S16" t="s">
        <v>140</v>
      </c>
      <c r="T16" s="9">
        <v>43007</v>
      </c>
      <c r="U16" s="9">
        <v>43010</v>
      </c>
      <c r="V16" s="12">
        <v>279</v>
      </c>
      <c r="W16" s="12">
        <v>35</v>
      </c>
      <c r="X16" s="17">
        <v>0.25</v>
      </c>
      <c r="Y16">
        <v>61</v>
      </c>
      <c r="Z16" s="12">
        <v>96</v>
      </c>
      <c r="AA16" s="12">
        <v>15.327731092436975</v>
      </c>
      <c r="AB16" s="12">
        <v>148</v>
      </c>
      <c r="AF16" s="18">
        <f t="shared" si="0"/>
        <v>0</v>
      </c>
    </row>
    <row r="17" spans="1:32" customFormat="1" x14ac:dyDescent="0.25">
      <c r="A17" t="s">
        <v>9</v>
      </c>
      <c r="B17" t="s">
        <v>10</v>
      </c>
      <c r="C17" t="s">
        <v>142</v>
      </c>
      <c r="D17" s="9">
        <v>43007</v>
      </c>
      <c r="E17" s="9">
        <v>43009</v>
      </c>
      <c r="F17">
        <v>198</v>
      </c>
      <c r="H17">
        <v>35</v>
      </c>
      <c r="I17" t="s">
        <v>143</v>
      </c>
      <c r="J17">
        <v>20024</v>
      </c>
      <c r="K17" t="s">
        <v>9</v>
      </c>
      <c r="L17" t="s">
        <v>10</v>
      </c>
      <c r="M17" t="s">
        <v>10</v>
      </c>
      <c r="N17" t="s">
        <v>886</v>
      </c>
      <c r="O17" s="14">
        <v>60316</v>
      </c>
      <c r="P17" t="s">
        <v>887</v>
      </c>
      <c r="Q17" s="15" t="s">
        <v>849</v>
      </c>
      <c r="R17" s="15" t="s">
        <v>848</v>
      </c>
      <c r="S17" t="s">
        <v>142</v>
      </c>
      <c r="T17" s="9">
        <v>43007</v>
      </c>
      <c r="U17" s="9">
        <v>43009</v>
      </c>
      <c r="V17" s="12">
        <v>198</v>
      </c>
      <c r="W17" s="12">
        <v>35</v>
      </c>
      <c r="X17" s="17">
        <v>0.25</v>
      </c>
      <c r="Y17">
        <v>40.75</v>
      </c>
      <c r="Z17" s="12">
        <v>75.75</v>
      </c>
      <c r="AA17" s="12">
        <v>12.094537815126049</v>
      </c>
      <c r="AB17" s="12">
        <v>87.25</v>
      </c>
      <c r="AF17" s="18">
        <f t="shared" si="0"/>
        <v>0</v>
      </c>
    </row>
    <row r="18" spans="1:32" customFormat="1" x14ac:dyDescent="0.25">
      <c r="A18" t="s">
        <v>38</v>
      </c>
      <c r="B18" t="s">
        <v>43</v>
      </c>
      <c r="C18" t="s">
        <v>144</v>
      </c>
      <c r="D18" s="9">
        <v>43007</v>
      </c>
      <c r="E18" s="9">
        <v>43009</v>
      </c>
      <c r="F18">
        <v>184</v>
      </c>
      <c r="H18">
        <v>35</v>
      </c>
      <c r="I18" t="s">
        <v>145</v>
      </c>
      <c r="J18">
        <v>40024</v>
      </c>
      <c r="K18" t="s">
        <v>38</v>
      </c>
      <c r="L18" t="s">
        <v>43</v>
      </c>
      <c r="M18" t="s">
        <v>43</v>
      </c>
      <c r="N18" t="s">
        <v>888</v>
      </c>
      <c r="O18" s="14">
        <v>50968</v>
      </c>
      <c r="P18" t="s">
        <v>889</v>
      </c>
      <c r="Q18" s="15" t="s">
        <v>848</v>
      </c>
      <c r="R18" s="15" t="s">
        <v>849</v>
      </c>
      <c r="S18" t="s">
        <v>144</v>
      </c>
      <c r="T18" s="9">
        <v>43007</v>
      </c>
      <c r="U18" s="9">
        <v>43009</v>
      </c>
      <c r="V18" s="12">
        <v>184</v>
      </c>
      <c r="W18" s="12">
        <v>35</v>
      </c>
      <c r="X18" s="17">
        <v>0.25</v>
      </c>
      <c r="Y18">
        <v>37.25</v>
      </c>
      <c r="Z18" s="12">
        <v>72.25</v>
      </c>
      <c r="AA18" s="12">
        <v>11.535714285714285</v>
      </c>
      <c r="AB18" s="12">
        <v>76.75</v>
      </c>
      <c r="AF18" s="18">
        <f t="shared" si="0"/>
        <v>0</v>
      </c>
    </row>
    <row r="19" spans="1:32" customFormat="1" x14ac:dyDescent="0.25">
      <c r="A19" t="s">
        <v>11</v>
      </c>
      <c r="B19" t="s">
        <v>66</v>
      </c>
      <c r="C19" t="s">
        <v>146</v>
      </c>
      <c r="D19" s="9">
        <v>43007</v>
      </c>
      <c r="E19" s="9">
        <v>43009</v>
      </c>
      <c r="F19">
        <v>588</v>
      </c>
      <c r="H19">
        <v>50</v>
      </c>
      <c r="I19" t="s">
        <v>147</v>
      </c>
      <c r="J19">
        <v>10094</v>
      </c>
      <c r="K19" t="s">
        <v>11</v>
      </c>
      <c r="L19" t="s">
        <v>66</v>
      </c>
      <c r="M19" t="s">
        <v>66</v>
      </c>
      <c r="N19" t="s">
        <v>890</v>
      </c>
      <c r="O19" s="14">
        <v>80804</v>
      </c>
      <c r="P19" t="s">
        <v>891</v>
      </c>
      <c r="Q19" s="15" t="s">
        <v>848</v>
      </c>
      <c r="R19" s="15" t="s">
        <v>849</v>
      </c>
      <c r="S19" t="s">
        <v>146</v>
      </c>
      <c r="T19" s="9">
        <v>43007</v>
      </c>
      <c r="U19" s="9">
        <v>43009</v>
      </c>
      <c r="V19" s="12">
        <v>588</v>
      </c>
      <c r="W19" s="12">
        <v>50</v>
      </c>
      <c r="X19" s="17">
        <v>0.25</v>
      </c>
      <c r="Y19">
        <v>134.5</v>
      </c>
      <c r="Z19" s="12">
        <v>184.5</v>
      </c>
      <c r="AA19" s="12">
        <v>29.457983193277311</v>
      </c>
      <c r="AB19" s="12">
        <v>353.5</v>
      </c>
      <c r="AF19" s="18">
        <f t="shared" si="0"/>
        <v>0</v>
      </c>
    </row>
    <row r="20" spans="1:32" customFormat="1" x14ac:dyDescent="0.25">
      <c r="A20" t="s">
        <v>15</v>
      </c>
      <c r="B20" t="s">
        <v>25</v>
      </c>
      <c r="C20" t="s">
        <v>148</v>
      </c>
      <c r="D20" s="9">
        <v>43007</v>
      </c>
      <c r="E20" s="9">
        <v>43014</v>
      </c>
      <c r="F20">
        <v>569</v>
      </c>
      <c r="G20">
        <v>-1</v>
      </c>
      <c r="H20">
        <v>45</v>
      </c>
      <c r="I20" t="s">
        <v>149</v>
      </c>
      <c r="J20">
        <v>30023</v>
      </c>
      <c r="K20" t="s">
        <v>15</v>
      </c>
      <c r="L20" t="s">
        <v>892</v>
      </c>
      <c r="M20" t="s">
        <v>892</v>
      </c>
      <c r="N20" t="s">
        <v>893</v>
      </c>
      <c r="O20" s="14">
        <v>40225</v>
      </c>
      <c r="P20" t="s">
        <v>894</v>
      </c>
      <c r="Q20" s="15" t="s">
        <v>848</v>
      </c>
      <c r="R20" s="15" t="s">
        <v>849</v>
      </c>
      <c r="S20" t="s">
        <v>148</v>
      </c>
      <c r="T20" s="9">
        <v>43007</v>
      </c>
      <c r="U20" s="9">
        <v>43014</v>
      </c>
      <c r="V20" s="12">
        <v>569</v>
      </c>
      <c r="W20" s="12">
        <v>45</v>
      </c>
      <c r="X20" s="17">
        <v>0.2</v>
      </c>
      <c r="Y20">
        <v>104.80000000000001</v>
      </c>
      <c r="Z20" s="12">
        <v>149.80000000000001</v>
      </c>
      <c r="AA20" s="12">
        <v>23.917647058823533</v>
      </c>
      <c r="AB20" s="12">
        <v>374.2</v>
      </c>
      <c r="AF20" s="18">
        <f t="shared" si="0"/>
        <v>0</v>
      </c>
    </row>
    <row r="21" spans="1:32" customFormat="1" x14ac:dyDescent="0.25">
      <c r="A21" t="s">
        <v>9</v>
      </c>
      <c r="B21" t="s">
        <v>28</v>
      </c>
      <c r="C21" t="s">
        <v>150</v>
      </c>
      <c r="D21" s="9">
        <v>43007</v>
      </c>
      <c r="E21" s="9">
        <v>43011</v>
      </c>
      <c r="F21">
        <v>258</v>
      </c>
      <c r="H21">
        <v>30</v>
      </c>
      <c r="I21" t="s">
        <v>151</v>
      </c>
      <c r="J21">
        <v>20028</v>
      </c>
      <c r="K21" t="s">
        <v>9</v>
      </c>
      <c r="L21" t="s">
        <v>28</v>
      </c>
      <c r="M21" t="s">
        <v>28</v>
      </c>
      <c r="N21" t="s">
        <v>895</v>
      </c>
      <c r="O21" s="14">
        <v>60313</v>
      </c>
      <c r="P21" t="s">
        <v>896</v>
      </c>
      <c r="Q21" s="15" t="s">
        <v>848</v>
      </c>
      <c r="R21" s="15" t="s">
        <v>849</v>
      </c>
      <c r="S21" t="s">
        <v>150</v>
      </c>
      <c r="T21" s="9">
        <v>43007</v>
      </c>
      <c r="U21" s="9">
        <v>43011</v>
      </c>
      <c r="V21" s="12">
        <v>258</v>
      </c>
      <c r="W21" s="12">
        <v>30</v>
      </c>
      <c r="X21" s="17">
        <v>0.25</v>
      </c>
      <c r="Y21">
        <v>57</v>
      </c>
      <c r="Z21" s="12">
        <v>87</v>
      </c>
      <c r="AA21" s="12">
        <v>13.890756302521007</v>
      </c>
      <c r="AB21" s="12">
        <v>141</v>
      </c>
      <c r="AF21" s="18">
        <f t="shared" si="0"/>
        <v>0</v>
      </c>
    </row>
    <row r="22" spans="1:32" customFormat="1" x14ac:dyDescent="0.25">
      <c r="A22" t="s">
        <v>11</v>
      </c>
      <c r="B22" t="s">
        <v>78</v>
      </c>
      <c r="C22" t="s">
        <v>152</v>
      </c>
      <c r="D22" s="9">
        <v>43007</v>
      </c>
      <c r="E22" s="9">
        <v>43010</v>
      </c>
      <c r="F22">
        <v>612</v>
      </c>
      <c r="H22">
        <v>65</v>
      </c>
      <c r="I22" t="s">
        <v>153</v>
      </c>
      <c r="J22">
        <v>10099</v>
      </c>
      <c r="K22" t="s">
        <v>11</v>
      </c>
      <c r="L22" t="s">
        <v>78</v>
      </c>
      <c r="M22" t="s">
        <v>897</v>
      </c>
      <c r="N22" t="s">
        <v>898</v>
      </c>
      <c r="O22" s="14">
        <v>80639</v>
      </c>
      <c r="P22" t="s">
        <v>899</v>
      </c>
      <c r="Q22" s="15" t="s">
        <v>848</v>
      </c>
      <c r="R22" s="15" t="s">
        <v>849</v>
      </c>
      <c r="S22" t="s">
        <v>152</v>
      </c>
      <c r="T22" s="9">
        <v>43007</v>
      </c>
      <c r="U22" s="9">
        <v>43010</v>
      </c>
      <c r="V22" s="12">
        <v>612</v>
      </c>
      <c r="W22" s="12">
        <v>65</v>
      </c>
      <c r="X22" s="17">
        <v>0.25</v>
      </c>
      <c r="Y22">
        <v>136.75</v>
      </c>
      <c r="Z22" s="12">
        <v>201.75</v>
      </c>
      <c r="AA22" s="12">
        <v>32.212184873949582</v>
      </c>
      <c r="AB22" s="12">
        <v>345.25</v>
      </c>
      <c r="AF22" s="18">
        <f t="shared" si="0"/>
        <v>0</v>
      </c>
    </row>
    <row r="23" spans="1:32" customFormat="1" x14ac:dyDescent="0.25">
      <c r="A23" t="s">
        <v>11</v>
      </c>
      <c r="B23" t="s">
        <v>54</v>
      </c>
      <c r="C23" t="s">
        <v>154</v>
      </c>
      <c r="D23" s="9">
        <v>43007</v>
      </c>
      <c r="E23" s="9">
        <v>43010</v>
      </c>
      <c r="F23">
        <v>540</v>
      </c>
      <c r="G23">
        <v>1</v>
      </c>
      <c r="H23">
        <v>35</v>
      </c>
      <c r="I23" t="s">
        <v>155</v>
      </c>
      <c r="J23">
        <v>10095</v>
      </c>
      <c r="K23" t="s">
        <v>11</v>
      </c>
      <c r="L23" t="s">
        <v>900</v>
      </c>
      <c r="M23" t="s">
        <v>900</v>
      </c>
      <c r="N23" t="s">
        <v>901</v>
      </c>
      <c r="O23" s="14">
        <v>80337</v>
      </c>
      <c r="P23" t="s">
        <v>902</v>
      </c>
      <c r="Q23" s="15" t="s">
        <v>848</v>
      </c>
      <c r="R23" s="15" t="s">
        <v>849</v>
      </c>
      <c r="S23" t="s">
        <v>154</v>
      </c>
      <c r="T23" s="9">
        <v>43007</v>
      </c>
      <c r="U23" s="9">
        <v>43010</v>
      </c>
      <c r="V23" s="12">
        <v>540</v>
      </c>
      <c r="W23" s="12">
        <v>35</v>
      </c>
      <c r="X23" s="17">
        <v>0.25</v>
      </c>
      <c r="Y23">
        <v>126.25</v>
      </c>
      <c r="Z23" s="12">
        <v>161.25</v>
      </c>
      <c r="AA23" s="12">
        <v>25.745798319327733</v>
      </c>
      <c r="AB23" s="12">
        <v>343.75</v>
      </c>
      <c r="AF23" s="18">
        <f t="shared" si="0"/>
        <v>0</v>
      </c>
    </row>
    <row r="24" spans="1:32" customFormat="1" x14ac:dyDescent="0.25">
      <c r="A24" t="s">
        <v>18</v>
      </c>
      <c r="B24" t="s">
        <v>34</v>
      </c>
      <c r="C24" t="s">
        <v>156</v>
      </c>
      <c r="D24" s="9">
        <v>43007</v>
      </c>
      <c r="E24" s="9">
        <v>43010</v>
      </c>
      <c r="F24">
        <v>581</v>
      </c>
      <c r="G24">
        <v>1</v>
      </c>
      <c r="H24">
        <v>60</v>
      </c>
      <c r="I24" t="s">
        <v>157</v>
      </c>
      <c r="J24">
        <v>60001</v>
      </c>
      <c r="K24" t="s">
        <v>18</v>
      </c>
      <c r="L24" t="s">
        <v>903</v>
      </c>
      <c r="M24" t="s">
        <v>903</v>
      </c>
      <c r="N24" t="s">
        <v>904</v>
      </c>
      <c r="O24" s="14">
        <v>10247</v>
      </c>
      <c r="P24" t="s">
        <v>905</v>
      </c>
      <c r="Q24" s="15" t="s">
        <v>849</v>
      </c>
      <c r="R24" s="15" t="s">
        <v>848</v>
      </c>
      <c r="S24" t="s">
        <v>156</v>
      </c>
      <c r="T24" s="9">
        <v>43007</v>
      </c>
      <c r="U24" s="9">
        <v>43010</v>
      </c>
      <c r="V24" s="12">
        <v>581</v>
      </c>
      <c r="W24" s="12">
        <v>60</v>
      </c>
      <c r="X24" s="17">
        <v>0.25</v>
      </c>
      <c r="Y24">
        <v>130.25</v>
      </c>
      <c r="Z24" s="12">
        <v>190.25</v>
      </c>
      <c r="AA24" s="12">
        <v>30.37605042016807</v>
      </c>
      <c r="AB24" s="12">
        <v>330.75</v>
      </c>
      <c r="AF24" s="18">
        <f t="shared" si="0"/>
        <v>0</v>
      </c>
    </row>
    <row r="25" spans="1:32" customFormat="1" x14ac:dyDescent="0.25">
      <c r="A25" t="s">
        <v>11</v>
      </c>
      <c r="B25" t="s">
        <v>158</v>
      </c>
      <c r="C25" t="s">
        <v>159</v>
      </c>
      <c r="D25" s="9">
        <v>43007</v>
      </c>
      <c r="E25" s="9">
        <v>43009</v>
      </c>
      <c r="F25">
        <v>304</v>
      </c>
      <c r="H25">
        <v>45</v>
      </c>
      <c r="I25" t="s">
        <v>160</v>
      </c>
      <c r="J25">
        <v>10102</v>
      </c>
      <c r="K25" t="s">
        <v>11</v>
      </c>
      <c r="L25" t="s">
        <v>906</v>
      </c>
      <c r="M25" t="s">
        <v>906</v>
      </c>
      <c r="N25" t="s">
        <v>907</v>
      </c>
      <c r="O25" s="14">
        <v>81541</v>
      </c>
      <c r="P25" t="s">
        <v>908</v>
      </c>
      <c r="Q25" s="15" t="s">
        <v>848</v>
      </c>
      <c r="R25" s="15" t="s">
        <v>849</v>
      </c>
      <c r="S25" t="s">
        <v>159</v>
      </c>
      <c r="T25" s="9">
        <v>43007</v>
      </c>
      <c r="U25" s="9">
        <v>43009</v>
      </c>
      <c r="V25" s="12">
        <v>304</v>
      </c>
      <c r="W25" s="12">
        <v>45</v>
      </c>
      <c r="X25" s="17">
        <v>0.25</v>
      </c>
      <c r="Y25">
        <v>64.75</v>
      </c>
      <c r="Z25" s="12">
        <v>109.75</v>
      </c>
      <c r="AA25" s="12">
        <v>17.52310924369748</v>
      </c>
      <c r="AB25" s="12">
        <v>149.25</v>
      </c>
      <c r="AF25" s="18">
        <f t="shared" si="0"/>
        <v>0</v>
      </c>
    </row>
    <row r="26" spans="1:32" customFormat="1" x14ac:dyDescent="0.25">
      <c r="A26" t="s">
        <v>11</v>
      </c>
      <c r="B26" t="s">
        <v>161</v>
      </c>
      <c r="C26" t="s">
        <v>162</v>
      </c>
      <c r="D26" s="9">
        <v>43007</v>
      </c>
      <c r="E26" s="9">
        <v>43009</v>
      </c>
      <c r="F26">
        <v>246</v>
      </c>
      <c r="G26">
        <v>1</v>
      </c>
      <c r="H26">
        <v>35</v>
      </c>
      <c r="I26" t="s">
        <v>163</v>
      </c>
      <c r="J26">
        <v>10075</v>
      </c>
      <c r="K26" t="s">
        <v>11</v>
      </c>
      <c r="L26" t="s">
        <v>161</v>
      </c>
      <c r="M26" t="s">
        <v>161</v>
      </c>
      <c r="N26" t="s">
        <v>909</v>
      </c>
      <c r="O26" s="14" t="s">
        <v>910</v>
      </c>
      <c r="P26" t="s">
        <v>911</v>
      </c>
      <c r="Q26" s="15" t="s">
        <v>848</v>
      </c>
      <c r="R26" s="15" t="s">
        <v>849</v>
      </c>
      <c r="S26" t="s">
        <v>162</v>
      </c>
      <c r="T26" s="9">
        <v>43007</v>
      </c>
      <c r="U26" s="9">
        <v>43009</v>
      </c>
      <c r="V26" s="12">
        <v>246</v>
      </c>
      <c r="W26" s="12">
        <v>35</v>
      </c>
      <c r="X26" s="17">
        <v>0.25</v>
      </c>
      <c r="Y26">
        <v>52.75</v>
      </c>
      <c r="Z26" s="12">
        <v>87.75</v>
      </c>
      <c r="AA26" s="12">
        <v>14.010504201680673</v>
      </c>
      <c r="AB26" s="12">
        <v>123.25</v>
      </c>
      <c r="AF26" s="18">
        <f t="shared" si="0"/>
        <v>0</v>
      </c>
    </row>
    <row r="27" spans="1:32" customFormat="1" x14ac:dyDescent="0.25">
      <c r="A27" t="s">
        <v>38</v>
      </c>
      <c r="B27" t="s">
        <v>44</v>
      </c>
      <c r="C27" t="s">
        <v>164</v>
      </c>
      <c r="D27" s="9">
        <v>43007</v>
      </c>
      <c r="E27" s="9">
        <v>43009</v>
      </c>
      <c r="F27">
        <v>279</v>
      </c>
      <c r="H27">
        <v>35</v>
      </c>
      <c r="I27" t="s">
        <v>165</v>
      </c>
      <c r="J27">
        <v>40014</v>
      </c>
      <c r="K27" t="s">
        <v>38</v>
      </c>
      <c r="L27" t="s">
        <v>44</v>
      </c>
      <c r="M27" t="s">
        <v>44</v>
      </c>
      <c r="N27" t="s">
        <v>912</v>
      </c>
      <c r="O27" s="14">
        <v>50672</v>
      </c>
      <c r="P27" t="s">
        <v>913</v>
      </c>
      <c r="Q27" s="15" t="s">
        <v>848</v>
      </c>
      <c r="R27" s="15" t="s">
        <v>849</v>
      </c>
      <c r="S27" t="s">
        <v>164</v>
      </c>
      <c r="T27" s="9">
        <v>43007</v>
      </c>
      <c r="U27" s="9">
        <v>43009</v>
      </c>
      <c r="V27" s="12">
        <v>279</v>
      </c>
      <c r="W27" s="12">
        <v>35</v>
      </c>
      <c r="X27" s="17">
        <v>0.2</v>
      </c>
      <c r="Y27">
        <v>48.800000000000004</v>
      </c>
      <c r="Z27" s="12">
        <v>83.800000000000011</v>
      </c>
      <c r="AA27" s="12">
        <v>13.37983193277311</v>
      </c>
      <c r="AB27" s="12">
        <v>160.19999999999999</v>
      </c>
      <c r="AF27" s="18">
        <f t="shared" si="0"/>
        <v>0</v>
      </c>
    </row>
    <row r="28" spans="1:32" customFormat="1" x14ac:dyDescent="0.25">
      <c r="A28" t="s">
        <v>12</v>
      </c>
      <c r="B28" t="s">
        <v>29</v>
      </c>
      <c r="C28" t="s">
        <v>166</v>
      </c>
      <c r="D28" s="9">
        <v>43007</v>
      </c>
      <c r="E28" s="9">
        <v>43009</v>
      </c>
      <c r="F28">
        <v>295</v>
      </c>
      <c r="H28">
        <v>30</v>
      </c>
      <c r="I28" t="s">
        <v>167</v>
      </c>
      <c r="J28">
        <v>50029</v>
      </c>
      <c r="K28" t="s">
        <v>12</v>
      </c>
      <c r="L28" t="s">
        <v>29</v>
      </c>
      <c r="M28" t="s">
        <v>29</v>
      </c>
      <c r="N28" t="s">
        <v>914</v>
      </c>
      <c r="O28" s="14">
        <v>20099</v>
      </c>
      <c r="P28" t="s">
        <v>915</v>
      </c>
      <c r="Q28" s="15" t="s">
        <v>848</v>
      </c>
      <c r="R28" s="15" t="s">
        <v>849</v>
      </c>
      <c r="S28" t="s">
        <v>166</v>
      </c>
      <c r="T28" s="9">
        <v>43007</v>
      </c>
      <c r="U28" s="9">
        <v>43009</v>
      </c>
      <c r="V28" s="12">
        <v>295</v>
      </c>
      <c r="W28" s="12">
        <v>30</v>
      </c>
      <c r="X28" s="17">
        <v>0.25</v>
      </c>
      <c r="Y28">
        <v>66.25</v>
      </c>
      <c r="Z28" s="12">
        <v>96.25</v>
      </c>
      <c r="AA28" s="12">
        <v>15.367647058823529</v>
      </c>
      <c r="AB28" s="12">
        <v>168.75</v>
      </c>
      <c r="AF28" s="18">
        <f t="shared" si="0"/>
        <v>0</v>
      </c>
    </row>
    <row r="29" spans="1:32" customFormat="1" x14ac:dyDescent="0.25">
      <c r="A29" t="s">
        <v>11</v>
      </c>
      <c r="B29" t="s">
        <v>168</v>
      </c>
      <c r="C29" t="s">
        <v>169</v>
      </c>
      <c r="D29" s="9">
        <v>43007</v>
      </c>
      <c r="E29" s="9">
        <v>43010</v>
      </c>
      <c r="F29">
        <v>287</v>
      </c>
      <c r="G29">
        <v>1</v>
      </c>
      <c r="H29">
        <v>35</v>
      </c>
      <c r="I29" t="s">
        <v>170</v>
      </c>
      <c r="J29">
        <v>10090</v>
      </c>
      <c r="K29" t="s">
        <v>11</v>
      </c>
      <c r="L29" t="s">
        <v>168</v>
      </c>
      <c r="M29" t="s">
        <v>168</v>
      </c>
      <c r="N29" t="s">
        <v>916</v>
      </c>
      <c r="O29" s="14">
        <v>81927</v>
      </c>
      <c r="P29" t="s">
        <v>917</v>
      </c>
      <c r="Q29" s="15" t="s">
        <v>848</v>
      </c>
      <c r="R29" s="15" t="s">
        <v>849</v>
      </c>
      <c r="S29" t="s">
        <v>169</v>
      </c>
      <c r="T29" s="9">
        <v>43007</v>
      </c>
      <c r="U29" s="9">
        <v>43010</v>
      </c>
      <c r="V29" s="12">
        <v>287</v>
      </c>
      <c r="W29" s="12">
        <v>35</v>
      </c>
      <c r="X29" s="17">
        <v>0.2</v>
      </c>
      <c r="Y29">
        <v>50.400000000000006</v>
      </c>
      <c r="Z29" s="12">
        <v>85.4</v>
      </c>
      <c r="AA29" s="12">
        <v>13.635294117647058</v>
      </c>
      <c r="AB29" s="12">
        <v>166.6</v>
      </c>
      <c r="AF29" s="18">
        <f t="shared" si="0"/>
        <v>0</v>
      </c>
    </row>
    <row r="30" spans="1:32" customFormat="1" x14ac:dyDescent="0.25">
      <c r="A30" t="s">
        <v>11</v>
      </c>
      <c r="B30" t="s">
        <v>63</v>
      </c>
      <c r="C30" t="s">
        <v>171</v>
      </c>
      <c r="D30" s="9">
        <v>43007</v>
      </c>
      <c r="E30" s="9">
        <v>43009</v>
      </c>
      <c r="F30">
        <v>220</v>
      </c>
      <c r="H30">
        <v>30</v>
      </c>
      <c r="I30" t="s">
        <v>172</v>
      </c>
      <c r="J30">
        <v>10056</v>
      </c>
      <c r="K30" t="s">
        <v>11</v>
      </c>
      <c r="L30" t="s">
        <v>918</v>
      </c>
      <c r="M30" t="s">
        <v>918</v>
      </c>
      <c r="N30" t="s">
        <v>919</v>
      </c>
      <c r="O30" s="14">
        <v>82031</v>
      </c>
      <c r="P30" t="s">
        <v>920</v>
      </c>
      <c r="Q30" s="15" t="s">
        <v>848</v>
      </c>
      <c r="R30" s="15" t="s">
        <v>849</v>
      </c>
      <c r="S30" t="s">
        <v>171</v>
      </c>
      <c r="T30" s="9">
        <v>43007</v>
      </c>
      <c r="U30" s="9">
        <v>43009</v>
      </c>
      <c r="V30" s="12">
        <v>220</v>
      </c>
      <c r="W30" s="12">
        <v>30</v>
      </c>
      <c r="X30" s="17">
        <v>0.25</v>
      </c>
      <c r="Y30">
        <v>47.5</v>
      </c>
      <c r="Z30" s="12">
        <v>77.5</v>
      </c>
      <c r="AA30" s="12">
        <v>12.373949579831933</v>
      </c>
      <c r="AB30" s="12">
        <v>112.5</v>
      </c>
      <c r="AF30" s="18">
        <f t="shared" si="0"/>
        <v>0</v>
      </c>
    </row>
    <row r="31" spans="1:32" customFormat="1" x14ac:dyDescent="0.25">
      <c r="A31" t="s">
        <v>11</v>
      </c>
      <c r="B31" t="s">
        <v>77</v>
      </c>
      <c r="C31" t="s">
        <v>173</v>
      </c>
      <c r="D31" s="9">
        <v>43007</v>
      </c>
      <c r="E31" s="9">
        <v>43009</v>
      </c>
      <c r="F31">
        <v>323</v>
      </c>
      <c r="H31">
        <v>35</v>
      </c>
      <c r="I31" t="s">
        <v>174</v>
      </c>
      <c r="J31">
        <v>10088</v>
      </c>
      <c r="K31" t="s">
        <v>11</v>
      </c>
      <c r="L31" t="s">
        <v>921</v>
      </c>
      <c r="M31" t="s">
        <v>921</v>
      </c>
      <c r="N31" t="s">
        <v>922</v>
      </c>
      <c r="O31" s="14">
        <v>80469</v>
      </c>
      <c r="P31" t="s">
        <v>923</v>
      </c>
      <c r="Q31" s="15" t="s">
        <v>848</v>
      </c>
      <c r="R31" s="15" t="s">
        <v>849</v>
      </c>
      <c r="S31" t="s">
        <v>173</v>
      </c>
      <c r="T31" s="9">
        <v>43007</v>
      </c>
      <c r="U31" s="9">
        <v>43009</v>
      </c>
      <c r="V31" s="12">
        <v>323</v>
      </c>
      <c r="W31" s="12">
        <v>35</v>
      </c>
      <c r="X31" s="17">
        <v>0.25</v>
      </c>
      <c r="Y31">
        <v>72</v>
      </c>
      <c r="Z31" s="12">
        <v>107</v>
      </c>
      <c r="AA31" s="12">
        <v>17.084033613445378</v>
      </c>
      <c r="AB31" s="12">
        <v>181</v>
      </c>
      <c r="AF31" s="18">
        <f t="shared" si="0"/>
        <v>0</v>
      </c>
    </row>
    <row r="32" spans="1:32" customFormat="1" x14ac:dyDescent="0.25">
      <c r="A32" t="s">
        <v>15</v>
      </c>
      <c r="B32" t="s">
        <v>17</v>
      </c>
      <c r="C32" t="s">
        <v>175</v>
      </c>
      <c r="D32" s="9">
        <v>43007</v>
      </c>
      <c r="E32" s="9">
        <v>43009</v>
      </c>
      <c r="F32">
        <v>243</v>
      </c>
      <c r="G32">
        <v>-1</v>
      </c>
      <c r="H32">
        <v>40</v>
      </c>
      <c r="I32" t="s">
        <v>176</v>
      </c>
      <c r="J32">
        <v>30022</v>
      </c>
      <c r="K32" t="s">
        <v>15</v>
      </c>
      <c r="L32" t="s">
        <v>892</v>
      </c>
      <c r="M32" t="s">
        <v>892</v>
      </c>
      <c r="N32" t="s">
        <v>893</v>
      </c>
      <c r="O32" s="14">
        <v>40225</v>
      </c>
      <c r="P32" t="s">
        <v>894</v>
      </c>
      <c r="Q32" s="15" t="s">
        <v>848</v>
      </c>
      <c r="R32" s="15" t="s">
        <v>849</v>
      </c>
      <c r="S32" t="s">
        <v>175</v>
      </c>
      <c r="T32" s="9">
        <v>43007</v>
      </c>
      <c r="U32" s="9">
        <v>43009</v>
      </c>
      <c r="V32" s="12">
        <v>243</v>
      </c>
      <c r="W32" s="12">
        <v>40</v>
      </c>
      <c r="X32" s="17">
        <v>0.2</v>
      </c>
      <c r="Y32">
        <v>40.6</v>
      </c>
      <c r="Z32" s="12">
        <v>80.599999999999994</v>
      </c>
      <c r="AA32" s="12">
        <v>12.868907563025209</v>
      </c>
      <c r="AB32" s="12">
        <v>122.4</v>
      </c>
      <c r="AF32" s="18">
        <f t="shared" si="0"/>
        <v>0</v>
      </c>
    </row>
    <row r="33" spans="1:32" customFormat="1" x14ac:dyDescent="0.25">
      <c r="A33" t="s">
        <v>18</v>
      </c>
      <c r="B33" t="s">
        <v>177</v>
      </c>
      <c r="C33" t="s">
        <v>178</v>
      </c>
      <c r="D33" s="9">
        <v>43007</v>
      </c>
      <c r="E33" s="9">
        <v>43009</v>
      </c>
      <c r="F33">
        <v>150</v>
      </c>
      <c r="G33">
        <v>1</v>
      </c>
      <c r="H33">
        <v>50</v>
      </c>
      <c r="I33" t="s">
        <v>179</v>
      </c>
      <c r="J33">
        <v>60032</v>
      </c>
      <c r="K33" t="s">
        <v>18</v>
      </c>
      <c r="L33" t="s">
        <v>924</v>
      </c>
      <c r="M33" t="s">
        <v>924</v>
      </c>
      <c r="N33" t="s">
        <v>925</v>
      </c>
      <c r="O33" s="14">
        <v>10405</v>
      </c>
      <c r="P33" t="s">
        <v>926</v>
      </c>
      <c r="Q33" s="15" t="s">
        <v>848</v>
      </c>
      <c r="R33" s="15" t="s">
        <v>849</v>
      </c>
      <c r="S33" t="s">
        <v>178</v>
      </c>
      <c r="T33" s="9">
        <v>43007</v>
      </c>
      <c r="U33" s="9">
        <v>43009</v>
      </c>
      <c r="V33" s="12">
        <v>150</v>
      </c>
      <c r="W33" s="12">
        <v>50</v>
      </c>
      <c r="X33" s="17">
        <v>0.25</v>
      </c>
      <c r="Y33">
        <v>25</v>
      </c>
      <c r="Z33" s="12">
        <v>75</v>
      </c>
      <c r="AA33" s="12">
        <v>11.974789915966387</v>
      </c>
      <c r="AB33" s="12">
        <v>25</v>
      </c>
      <c r="AF33" s="18">
        <f t="shared" si="0"/>
        <v>0</v>
      </c>
    </row>
    <row r="34" spans="1:32" customFormat="1" x14ac:dyDescent="0.25">
      <c r="A34" t="s">
        <v>15</v>
      </c>
      <c r="B34" t="s">
        <v>19</v>
      </c>
      <c r="C34" t="s">
        <v>180</v>
      </c>
      <c r="D34" s="9">
        <v>43007</v>
      </c>
      <c r="E34" s="9">
        <v>43009</v>
      </c>
      <c r="F34">
        <v>194</v>
      </c>
      <c r="H34">
        <v>35</v>
      </c>
      <c r="I34" t="s">
        <v>181</v>
      </c>
      <c r="J34">
        <v>30019</v>
      </c>
      <c r="K34" t="s">
        <v>15</v>
      </c>
      <c r="L34" t="s">
        <v>927</v>
      </c>
      <c r="M34" t="s">
        <v>927</v>
      </c>
      <c r="N34" t="s">
        <v>928</v>
      </c>
      <c r="O34" s="14">
        <v>40476</v>
      </c>
      <c r="P34" t="s">
        <v>929</v>
      </c>
      <c r="Q34" s="15" t="s">
        <v>848</v>
      </c>
      <c r="R34" s="15" t="s">
        <v>849</v>
      </c>
      <c r="S34" t="s">
        <v>180</v>
      </c>
      <c r="T34" s="9">
        <v>43007</v>
      </c>
      <c r="U34" s="9">
        <v>43009</v>
      </c>
      <c r="V34" s="12">
        <v>194</v>
      </c>
      <c r="W34" s="12">
        <v>35</v>
      </c>
      <c r="X34" s="17">
        <v>0.25</v>
      </c>
      <c r="Y34">
        <v>39.75</v>
      </c>
      <c r="Z34" s="12">
        <v>74.75</v>
      </c>
      <c r="AA34" s="12">
        <v>11.934873949579831</v>
      </c>
      <c r="AB34" s="12">
        <v>84.25</v>
      </c>
      <c r="AF34" s="18">
        <f t="shared" si="0"/>
        <v>0</v>
      </c>
    </row>
    <row r="35" spans="1:32" customFormat="1" x14ac:dyDescent="0.25">
      <c r="A35" t="s">
        <v>12</v>
      </c>
      <c r="B35" t="s">
        <v>48</v>
      </c>
      <c r="C35" t="s">
        <v>182</v>
      </c>
      <c r="D35" s="9">
        <v>43007</v>
      </c>
      <c r="E35" s="9">
        <v>43009</v>
      </c>
      <c r="F35">
        <v>184</v>
      </c>
      <c r="H35">
        <v>35</v>
      </c>
      <c r="I35" t="s">
        <v>183</v>
      </c>
      <c r="J35">
        <v>50022</v>
      </c>
      <c r="K35" t="s">
        <v>12</v>
      </c>
      <c r="L35" t="s">
        <v>48</v>
      </c>
      <c r="M35" t="s">
        <v>48</v>
      </c>
      <c r="N35" t="s">
        <v>930</v>
      </c>
      <c r="O35" s="14">
        <v>22767</v>
      </c>
      <c r="P35" t="s">
        <v>931</v>
      </c>
      <c r="Q35" s="15" t="s">
        <v>848</v>
      </c>
      <c r="R35" s="15" t="s">
        <v>849</v>
      </c>
      <c r="S35" t="s">
        <v>182</v>
      </c>
      <c r="T35" s="9">
        <v>43007</v>
      </c>
      <c r="U35" s="9">
        <v>43009</v>
      </c>
      <c r="V35" s="12">
        <v>184</v>
      </c>
      <c r="W35" s="12">
        <v>35</v>
      </c>
      <c r="X35" s="17">
        <v>0.25</v>
      </c>
      <c r="Y35">
        <v>37.25</v>
      </c>
      <c r="Z35" s="12">
        <v>72.25</v>
      </c>
      <c r="AA35" s="12">
        <v>11.535714285714285</v>
      </c>
      <c r="AB35" s="12">
        <v>76.75</v>
      </c>
      <c r="AF35" s="18">
        <f t="shared" si="0"/>
        <v>0</v>
      </c>
    </row>
    <row r="36" spans="1:32" customFormat="1" x14ac:dyDescent="0.25">
      <c r="A36" t="s">
        <v>18</v>
      </c>
      <c r="B36" t="s">
        <v>46</v>
      </c>
      <c r="C36" t="s">
        <v>184</v>
      </c>
      <c r="D36" s="9">
        <v>43007</v>
      </c>
      <c r="E36" s="9">
        <v>43011</v>
      </c>
      <c r="F36">
        <v>255</v>
      </c>
      <c r="H36">
        <v>35</v>
      </c>
      <c r="I36" t="s">
        <v>185</v>
      </c>
      <c r="J36">
        <v>60004</v>
      </c>
      <c r="K36" t="s">
        <v>18</v>
      </c>
      <c r="L36" t="s">
        <v>46</v>
      </c>
      <c r="M36" t="s">
        <v>46</v>
      </c>
      <c r="N36" t="s">
        <v>932</v>
      </c>
      <c r="O36" s="14">
        <v>13353</v>
      </c>
      <c r="P36" t="s">
        <v>933</v>
      </c>
      <c r="Q36" s="15" t="s">
        <v>848</v>
      </c>
      <c r="R36" s="15" t="s">
        <v>849</v>
      </c>
      <c r="S36" t="s">
        <v>184</v>
      </c>
      <c r="T36" s="9">
        <v>43007</v>
      </c>
      <c r="U36" s="9">
        <v>43011</v>
      </c>
      <c r="V36" s="12">
        <v>255</v>
      </c>
      <c r="W36" s="12">
        <v>35</v>
      </c>
      <c r="X36" s="17">
        <v>0.25</v>
      </c>
      <c r="Y36">
        <v>55</v>
      </c>
      <c r="Z36" s="12">
        <v>90</v>
      </c>
      <c r="AA36" s="12">
        <v>14.369747899159663</v>
      </c>
      <c r="AB36" s="12">
        <v>130</v>
      </c>
      <c r="AF36" s="18">
        <f t="shared" si="0"/>
        <v>0</v>
      </c>
    </row>
    <row r="37" spans="1:32" customFormat="1" x14ac:dyDescent="0.25">
      <c r="A37" t="s">
        <v>18</v>
      </c>
      <c r="B37" t="s">
        <v>61</v>
      </c>
      <c r="C37" t="s">
        <v>186</v>
      </c>
      <c r="D37" s="9">
        <v>43007</v>
      </c>
      <c r="E37" s="9">
        <v>43009</v>
      </c>
      <c r="F37">
        <v>124</v>
      </c>
      <c r="G37">
        <v>-1</v>
      </c>
      <c r="H37">
        <v>30</v>
      </c>
      <c r="I37" t="s">
        <v>187</v>
      </c>
      <c r="J37">
        <v>60011</v>
      </c>
      <c r="K37" t="s">
        <v>18</v>
      </c>
      <c r="L37" t="s">
        <v>61</v>
      </c>
      <c r="M37" t="s">
        <v>61</v>
      </c>
      <c r="N37" t="s">
        <v>934</v>
      </c>
      <c r="O37" s="14">
        <v>10711</v>
      </c>
      <c r="P37" t="s">
        <v>935</v>
      </c>
      <c r="Q37" s="15" t="s">
        <v>848</v>
      </c>
      <c r="R37" s="15" t="s">
        <v>849</v>
      </c>
      <c r="S37" t="s">
        <v>186</v>
      </c>
      <c r="T37" s="9">
        <v>43007</v>
      </c>
      <c r="U37" s="9">
        <v>43009</v>
      </c>
      <c r="V37" s="12">
        <v>124</v>
      </c>
      <c r="W37" s="12">
        <v>30</v>
      </c>
      <c r="X37" s="17">
        <v>0.25</v>
      </c>
      <c r="Y37">
        <v>23.5</v>
      </c>
      <c r="Z37" s="12">
        <v>53.5</v>
      </c>
      <c r="AA37" s="12">
        <v>8.5420168067226889</v>
      </c>
      <c r="AB37" s="12">
        <v>40.5</v>
      </c>
      <c r="AF37" s="18">
        <f t="shared" si="0"/>
        <v>0</v>
      </c>
    </row>
    <row r="38" spans="1:32" customFormat="1" x14ac:dyDescent="0.25">
      <c r="A38" t="s">
        <v>18</v>
      </c>
      <c r="B38" t="s">
        <v>188</v>
      </c>
      <c r="C38" t="s">
        <v>189</v>
      </c>
      <c r="D38" s="9">
        <v>43007</v>
      </c>
      <c r="E38" s="9">
        <v>43010</v>
      </c>
      <c r="F38">
        <v>186</v>
      </c>
      <c r="H38">
        <v>45</v>
      </c>
      <c r="I38" t="s">
        <v>190</v>
      </c>
      <c r="J38">
        <v>60036</v>
      </c>
      <c r="K38" t="s">
        <v>18</v>
      </c>
      <c r="L38" t="s">
        <v>936</v>
      </c>
      <c r="M38" t="s">
        <v>936</v>
      </c>
      <c r="N38" t="s">
        <v>937</v>
      </c>
      <c r="O38" s="14">
        <v>10969</v>
      </c>
      <c r="P38" t="s">
        <v>938</v>
      </c>
      <c r="Q38" s="15" t="s">
        <v>848</v>
      </c>
      <c r="R38" s="15" t="s">
        <v>849</v>
      </c>
      <c r="S38" t="s">
        <v>189</v>
      </c>
      <c r="T38" s="9">
        <v>43007</v>
      </c>
      <c r="U38" s="9">
        <v>43010</v>
      </c>
      <c r="V38" s="12">
        <v>186</v>
      </c>
      <c r="W38" s="12">
        <v>45</v>
      </c>
      <c r="X38" s="17">
        <v>0.25</v>
      </c>
      <c r="Y38">
        <v>35.25</v>
      </c>
      <c r="Z38" s="12">
        <v>80.25</v>
      </c>
      <c r="AA38" s="12">
        <v>12.813025210084035</v>
      </c>
      <c r="AB38" s="12">
        <v>60.75</v>
      </c>
      <c r="AF38" s="18">
        <f t="shared" si="0"/>
        <v>0</v>
      </c>
    </row>
    <row r="39" spans="1:32" customFormat="1" x14ac:dyDescent="0.25">
      <c r="A39" t="s">
        <v>11</v>
      </c>
      <c r="B39" t="s">
        <v>191</v>
      </c>
      <c r="C39" t="s">
        <v>192</v>
      </c>
      <c r="D39" s="9">
        <v>43008</v>
      </c>
      <c r="E39" s="9">
        <v>43011</v>
      </c>
      <c r="F39">
        <v>487</v>
      </c>
      <c r="H39">
        <v>40</v>
      </c>
      <c r="I39" t="s">
        <v>193</v>
      </c>
      <c r="J39">
        <v>10083</v>
      </c>
      <c r="K39" t="s">
        <v>11</v>
      </c>
      <c r="L39" t="s">
        <v>191</v>
      </c>
      <c r="M39" t="s">
        <v>191</v>
      </c>
      <c r="N39" t="s">
        <v>939</v>
      </c>
      <c r="O39" s="14">
        <v>81243</v>
      </c>
      <c r="P39" t="s">
        <v>940</v>
      </c>
      <c r="Q39" s="15" t="s">
        <v>848</v>
      </c>
      <c r="R39" s="15" t="s">
        <v>849</v>
      </c>
      <c r="S39" t="s">
        <v>192</v>
      </c>
      <c r="T39" s="9">
        <v>43008</v>
      </c>
      <c r="U39" s="9">
        <v>43011</v>
      </c>
      <c r="V39" s="12">
        <v>487</v>
      </c>
      <c r="W39" s="12">
        <v>40</v>
      </c>
      <c r="X39" s="17">
        <v>0.25</v>
      </c>
      <c r="Y39">
        <v>111.75</v>
      </c>
      <c r="Z39" s="12">
        <v>151.75</v>
      </c>
      <c r="AA39" s="12">
        <v>24.228991596638654</v>
      </c>
      <c r="AB39" s="12">
        <v>295.25</v>
      </c>
      <c r="AF39" s="18">
        <f t="shared" si="0"/>
        <v>0</v>
      </c>
    </row>
    <row r="40" spans="1:32" customFormat="1" x14ac:dyDescent="0.25">
      <c r="A40" t="s">
        <v>15</v>
      </c>
      <c r="B40" t="s">
        <v>26</v>
      </c>
      <c r="C40" t="s">
        <v>194</v>
      </c>
      <c r="D40" s="9">
        <v>43008</v>
      </c>
      <c r="E40" s="9">
        <v>43010</v>
      </c>
      <c r="F40">
        <v>136</v>
      </c>
      <c r="G40">
        <v>1</v>
      </c>
      <c r="H40">
        <v>35</v>
      </c>
      <c r="I40" t="s">
        <v>195</v>
      </c>
      <c r="J40">
        <v>30013</v>
      </c>
      <c r="K40" t="s">
        <v>15</v>
      </c>
      <c r="L40" t="s">
        <v>941</v>
      </c>
      <c r="M40" t="s">
        <v>941</v>
      </c>
      <c r="N40" t="s">
        <v>942</v>
      </c>
      <c r="O40" s="14">
        <v>40215</v>
      </c>
      <c r="P40" t="s">
        <v>943</v>
      </c>
      <c r="Q40" s="15" t="s">
        <v>848</v>
      </c>
      <c r="R40" s="15" t="s">
        <v>849</v>
      </c>
      <c r="S40" t="s">
        <v>194</v>
      </c>
      <c r="T40" s="9">
        <v>43008</v>
      </c>
      <c r="U40" s="9">
        <v>43010</v>
      </c>
      <c r="V40" s="12">
        <v>136</v>
      </c>
      <c r="W40" s="12">
        <v>35</v>
      </c>
      <c r="X40" s="17">
        <v>0.25</v>
      </c>
      <c r="Y40">
        <v>25.25</v>
      </c>
      <c r="Z40" s="12">
        <v>60.25</v>
      </c>
      <c r="AA40" s="12">
        <v>9.6197478991596626</v>
      </c>
      <c r="AB40" s="12">
        <v>40.75</v>
      </c>
      <c r="AF40" s="18">
        <f t="shared" si="0"/>
        <v>0</v>
      </c>
    </row>
    <row r="41" spans="1:32" customFormat="1" x14ac:dyDescent="0.25">
      <c r="A41" t="s">
        <v>11</v>
      </c>
      <c r="B41" t="s">
        <v>40</v>
      </c>
      <c r="C41" t="s">
        <v>196</v>
      </c>
      <c r="D41" s="9">
        <v>43008</v>
      </c>
      <c r="E41" s="9">
        <v>43011</v>
      </c>
      <c r="F41">
        <v>612</v>
      </c>
      <c r="G41">
        <v>1</v>
      </c>
      <c r="H41">
        <v>35</v>
      </c>
      <c r="I41" t="s">
        <v>197</v>
      </c>
      <c r="J41">
        <v>10018</v>
      </c>
      <c r="K41" t="s">
        <v>11</v>
      </c>
      <c r="L41" t="s">
        <v>944</v>
      </c>
      <c r="M41" t="s">
        <v>944</v>
      </c>
      <c r="N41" t="s">
        <v>945</v>
      </c>
      <c r="O41" s="14">
        <v>80803</v>
      </c>
      <c r="P41" t="s">
        <v>946</v>
      </c>
      <c r="Q41" s="15" t="s">
        <v>849</v>
      </c>
      <c r="R41" s="15" t="s">
        <v>848</v>
      </c>
      <c r="S41" t="s">
        <v>196</v>
      </c>
      <c r="T41" s="9">
        <v>43008</v>
      </c>
      <c r="U41" s="9">
        <v>43011</v>
      </c>
      <c r="V41" s="12">
        <v>612</v>
      </c>
      <c r="W41" s="12">
        <v>35</v>
      </c>
      <c r="X41" s="17">
        <v>0.25</v>
      </c>
      <c r="Y41">
        <v>144.25</v>
      </c>
      <c r="Z41" s="12">
        <v>179.25</v>
      </c>
      <c r="AA41" s="12">
        <v>28.619747899159663</v>
      </c>
      <c r="AB41" s="12">
        <v>397.75</v>
      </c>
      <c r="AF41" s="18">
        <f t="shared" si="0"/>
        <v>0</v>
      </c>
    </row>
    <row r="42" spans="1:32" customFormat="1" x14ac:dyDescent="0.25">
      <c r="A42" t="s">
        <v>18</v>
      </c>
      <c r="B42" t="s">
        <v>55</v>
      </c>
      <c r="C42" t="s">
        <v>198</v>
      </c>
      <c r="D42" s="9">
        <v>43008</v>
      </c>
      <c r="E42" s="9">
        <v>43011</v>
      </c>
      <c r="F42">
        <v>267</v>
      </c>
      <c r="G42">
        <v>1</v>
      </c>
      <c r="H42">
        <v>50</v>
      </c>
      <c r="I42" t="s">
        <v>199</v>
      </c>
      <c r="J42">
        <v>60025</v>
      </c>
      <c r="K42" t="s">
        <v>18</v>
      </c>
      <c r="L42" t="s">
        <v>947</v>
      </c>
      <c r="M42" t="s">
        <v>947</v>
      </c>
      <c r="N42" t="s">
        <v>948</v>
      </c>
      <c r="O42" s="14">
        <v>10969</v>
      </c>
      <c r="P42" t="s">
        <v>949</v>
      </c>
      <c r="Q42" s="15" t="s">
        <v>848</v>
      </c>
      <c r="R42" s="15" t="s">
        <v>849</v>
      </c>
      <c r="S42" t="s">
        <v>198</v>
      </c>
      <c r="T42" s="9">
        <v>43008</v>
      </c>
      <c r="U42" s="9">
        <v>43011</v>
      </c>
      <c r="V42" s="12">
        <v>267</v>
      </c>
      <c r="W42" s="12">
        <v>50</v>
      </c>
      <c r="X42" s="17">
        <v>0.25</v>
      </c>
      <c r="Y42">
        <v>54.25</v>
      </c>
      <c r="Z42" s="12">
        <v>104.25</v>
      </c>
      <c r="AA42" s="12">
        <v>16.644957983193276</v>
      </c>
      <c r="AB42" s="12">
        <v>112.75</v>
      </c>
      <c r="AF42" s="18">
        <f t="shared" si="0"/>
        <v>0</v>
      </c>
    </row>
    <row r="43" spans="1:32" customFormat="1" x14ac:dyDescent="0.25">
      <c r="A43" t="s">
        <v>12</v>
      </c>
      <c r="B43" t="s">
        <v>13</v>
      </c>
      <c r="C43" t="s">
        <v>200</v>
      </c>
      <c r="D43" s="9">
        <v>43008</v>
      </c>
      <c r="E43" s="9">
        <v>43011</v>
      </c>
      <c r="F43">
        <v>262</v>
      </c>
      <c r="G43">
        <v>1</v>
      </c>
      <c r="H43">
        <v>35</v>
      </c>
      <c r="I43" t="s">
        <v>201</v>
      </c>
      <c r="J43">
        <v>50014</v>
      </c>
      <c r="K43" t="s">
        <v>12</v>
      </c>
      <c r="L43" t="s">
        <v>950</v>
      </c>
      <c r="M43" t="s">
        <v>950</v>
      </c>
      <c r="N43" t="s">
        <v>951</v>
      </c>
      <c r="O43" s="14">
        <v>22767</v>
      </c>
      <c r="P43" t="s">
        <v>952</v>
      </c>
      <c r="Q43" s="15" t="s">
        <v>848</v>
      </c>
      <c r="R43" s="15" t="s">
        <v>849</v>
      </c>
      <c r="S43" t="s">
        <v>200</v>
      </c>
      <c r="T43" s="9">
        <v>43008</v>
      </c>
      <c r="U43" s="9">
        <v>43011</v>
      </c>
      <c r="V43" s="12">
        <v>262</v>
      </c>
      <c r="W43" s="12">
        <v>35</v>
      </c>
      <c r="X43" s="17">
        <v>0.25</v>
      </c>
      <c r="Y43">
        <v>56.75</v>
      </c>
      <c r="Z43" s="12">
        <v>91.75</v>
      </c>
      <c r="AA43" s="12">
        <v>14.649159663865547</v>
      </c>
      <c r="AB43" s="12">
        <v>135.25</v>
      </c>
      <c r="AF43" s="18">
        <f t="shared" si="0"/>
        <v>0</v>
      </c>
    </row>
    <row r="44" spans="1:32" customFormat="1" x14ac:dyDescent="0.25">
      <c r="A44" t="s">
        <v>12</v>
      </c>
      <c r="B44" t="s">
        <v>202</v>
      </c>
      <c r="C44" t="s">
        <v>203</v>
      </c>
      <c r="D44" s="9">
        <v>43008</v>
      </c>
      <c r="E44" s="9">
        <v>43010</v>
      </c>
      <c r="F44">
        <v>241</v>
      </c>
      <c r="G44">
        <v>1</v>
      </c>
      <c r="H44">
        <v>50</v>
      </c>
      <c r="I44" t="s">
        <v>204</v>
      </c>
      <c r="J44">
        <v>50039</v>
      </c>
      <c r="K44" t="s">
        <v>12</v>
      </c>
      <c r="L44" t="s">
        <v>953</v>
      </c>
      <c r="M44" t="s">
        <v>953</v>
      </c>
      <c r="N44" t="s">
        <v>954</v>
      </c>
      <c r="O44" s="14">
        <v>24837</v>
      </c>
      <c r="P44" t="s">
        <v>955</v>
      </c>
      <c r="Q44" s="15" t="s">
        <v>848</v>
      </c>
      <c r="R44" s="15" t="s">
        <v>849</v>
      </c>
      <c r="S44" t="s">
        <v>203</v>
      </c>
      <c r="T44" s="9">
        <v>43008</v>
      </c>
      <c r="U44" s="9">
        <v>43010</v>
      </c>
      <c r="V44" s="12">
        <v>241</v>
      </c>
      <c r="W44" s="12">
        <v>50</v>
      </c>
      <c r="X44" s="17">
        <v>0.25</v>
      </c>
      <c r="Y44">
        <v>47.75</v>
      </c>
      <c r="Z44" s="12">
        <v>97.75</v>
      </c>
      <c r="AA44" s="12">
        <v>15.607142857142856</v>
      </c>
      <c r="AB44" s="12">
        <v>93.25</v>
      </c>
      <c r="AF44" s="18">
        <f t="shared" si="0"/>
        <v>0</v>
      </c>
    </row>
    <row r="45" spans="1:32" customFormat="1" x14ac:dyDescent="0.25">
      <c r="A45" t="s">
        <v>12</v>
      </c>
      <c r="B45" t="s">
        <v>205</v>
      </c>
      <c r="C45" t="s">
        <v>206</v>
      </c>
      <c r="D45" s="9">
        <v>43008</v>
      </c>
      <c r="E45" s="9">
        <v>43026</v>
      </c>
      <c r="F45">
        <v>839</v>
      </c>
      <c r="G45" t="s">
        <v>207</v>
      </c>
      <c r="H45">
        <v>40</v>
      </c>
      <c r="I45" t="s">
        <v>208</v>
      </c>
      <c r="J45">
        <v>50040</v>
      </c>
      <c r="K45" t="s">
        <v>12</v>
      </c>
      <c r="L45" t="s">
        <v>953</v>
      </c>
      <c r="M45" t="s">
        <v>953</v>
      </c>
      <c r="N45" t="s">
        <v>954</v>
      </c>
      <c r="O45" s="14">
        <v>24837</v>
      </c>
      <c r="P45" t="s">
        <v>955</v>
      </c>
      <c r="Q45" s="15" t="s">
        <v>848</v>
      </c>
      <c r="R45" s="15" t="s">
        <v>849</v>
      </c>
      <c r="S45" t="s">
        <v>206</v>
      </c>
      <c r="T45" s="9">
        <v>43008</v>
      </c>
      <c r="U45" s="9">
        <v>43026</v>
      </c>
      <c r="V45" s="12">
        <v>839</v>
      </c>
      <c r="W45" s="12">
        <v>40</v>
      </c>
      <c r="X45" s="17">
        <v>0.25</v>
      </c>
      <c r="Y45">
        <v>199.75</v>
      </c>
      <c r="Z45" s="12">
        <v>239.75</v>
      </c>
      <c r="AA45" s="12">
        <v>38.279411764705884</v>
      </c>
      <c r="AB45" s="12">
        <v>559.25</v>
      </c>
      <c r="AF45" s="18">
        <f t="shared" si="0"/>
        <v>0</v>
      </c>
    </row>
    <row r="46" spans="1:32" customFormat="1" x14ac:dyDescent="0.25">
      <c r="A46" t="s">
        <v>18</v>
      </c>
      <c r="B46" t="s">
        <v>209</v>
      </c>
      <c r="C46" t="s">
        <v>210</v>
      </c>
      <c r="D46" s="9">
        <v>43008</v>
      </c>
      <c r="E46" s="9">
        <v>43011</v>
      </c>
      <c r="F46">
        <v>441</v>
      </c>
      <c r="G46">
        <v>-2</v>
      </c>
      <c r="H46">
        <v>40</v>
      </c>
      <c r="I46" t="s">
        <v>211</v>
      </c>
      <c r="J46">
        <v>60008</v>
      </c>
      <c r="K46" t="s">
        <v>18</v>
      </c>
      <c r="L46" t="s">
        <v>956</v>
      </c>
      <c r="M46" t="s">
        <v>956</v>
      </c>
      <c r="N46" t="s">
        <v>957</v>
      </c>
      <c r="O46" s="14">
        <v>10317</v>
      </c>
      <c r="P46" t="s">
        <v>958</v>
      </c>
      <c r="Q46" s="15" t="s">
        <v>848</v>
      </c>
      <c r="R46" s="15" t="s">
        <v>849</v>
      </c>
      <c r="S46" t="s">
        <v>210</v>
      </c>
      <c r="T46" s="9">
        <v>43008</v>
      </c>
      <c r="U46" s="9">
        <v>43011</v>
      </c>
      <c r="V46" s="12">
        <v>441</v>
      </c>
      <c r="W46" s="12">
        <v>40</v>
      </c>
      <c r="X46" s="17">
        <v>0.25</v>
      </c>
      <c r="Y46">
        <v>100.25</v>
      </c>
      <c r="Z46" s="12">
        <v>140.25</v>
      </c>
      <c r="AA46" s="12">
        <v>22.392857142857142</v>
      </c>
      <c r="AB46" s="12">
        <v>260.75</v>
      </c>
      <c r="AF46" s="18">
        <f t="shared" si="0"/>
        <v>0</v>
      </c>
    </row>
    <row r="47" spans="1:32" customFormat="1" x14ac:dyDescent="0.25">
      <c r="A47" t="s">
        <v>11</v>
      </c>
      <c r="B47" t="s">
        <v>23</v>
      </c>
      <c r="C47" t="s">
        <v>212</v>
      </c>
      <c r="D47" s="9">
        <v>43008</v>
      </c>
      <c r="E47" s="9">
        <v>43011</v>
      </c>
      <c r="F47">
        <v>268</v>
      </c>
      <c r="G47">
        <v>-1</v>
      </c>
      <c r="H47">
        <v>50</v>
      </c>
      <c r="I47" t="s">
        <v>213</v>
      </c>
      <c r="J47">
        <v>10087</v>
      </c>
      <c r="K47" t="s">
        <v>11</v>
      </c>
      <c r="L47" t="s">
        <v>959</v>
      </c>
      <c r="M47" t="s">
        <v>959</v>
      </c>
      <c r="N47" t="s">
        <v>960</v>
      </c>
      <c r="O47" s="14">
        <v>80339</v>
      </c>
      <c r="P47" t="s">
        <v>961</v>
      </c>
      <c r="Q47" s="15" t="s">
        <v>848</v>
      </c>
      <c r="R47" s="15" t="s">
        <v>849</v>
      </c>
      <c r="S47" t="s">
        <v>212</v>
      </c>
      <c r="T47" s="9">
        <v>43008</v>
      </c>
      <c r="U47" s="9">
        <v>43011</v>
      </c>
      <c r="V47" s="12">
        <v>268</v>
      </c>
      <c r="W47" s="12">
        <v>50</v>
      </c>
      <c r="X47" s="17">
        <v>0.25</v>
      </c>
      <c r="Y47">
        <v>54.5</v>
      </c>
      <c r="Z47" s="12">
        <v>104.5</v>
      </c>
      <c r="AA47" s="12">
        <v>16.684873949579831</v>
      </c>
      <c r="AB47" s="12">
        <v>113.5</v>
      </c>
      <c r="AF47" s="18">
        <f t="shared" si="0"/>
        <v>0</v>
      </c>
    </row>
    <row r="48" spans="1:32" customFormat="1" x14ac:dyDescent="0.25">
      <c r="A48" t="s">
        <v>18</v>
      </c>
      <c r="B48" t="s">
        <v>214</v>
      </c>
      <c r="C48" t="s">
        <v>215</v>
      </c>
      <c r="D48" s="9">
        <v>43008</v>
      </c>
      <c r="E48" s="9">
        <v>43011</v>
      </c>
      <c r="F48">
        <v>203</v>
      </c>
      <c r="H48">
        <v>35</v>
      </c>
      <c r="I48" t="s">
        <v>216</v>
      </c>
      <c r="J48">
        <v>60030</v>
      </c>
      <c r="K48" t="s">
        <v>18</v>
      </c>
      <c r="L48" t="s">
        <v>214</v>
      </c>
      <c r="M48" t="s">
        <v>214</v>
      </c>
      <c r="N48" t="s">
        <v>962</v>
      </c>
      <c r="O48" s="14">
        <v>10439</v>
      </c>
      <c r="P48" t="s">
        <v>963</v>
      </c>
      <c r="Q48" s="15" t="s">
        <v>848</v>
      </c>
      <c r="R48" s="15" t="s">
        <v>849</v>
      </c>
      <c r="S48" t="s">
        <v>215</v>
      </c>
      <c r="T48" s="9">
        <v>43008</v>
      </c>
      <c r="U48" s="9">
        <v>43011</v>
      </c>
      <c r="V48" s="12">
        <v>203</v>
      </c>
      <c r="W48" s="12">
        <v>35</v>
      </c>
      <c r="X48" s="17">
        <v>0.25</v>
      </c>
      <c r="Y48">
        <v>42</v>
      </c>
      <c r="Z48" s="12">
        <v>77</v>
      </c>
      <c r="AA48" s="12">
        <v>12.294117647058824</v>
      </c>
      <c r="AB48" s="12">
        <v>91</v>
      </c>
      <c r="AF48" s="18">
        <f t="shared" si="0"/>
        <v>0</v>
      </c>
    </row>
    <row r="49" spans="1:32" customFormat="1" x14ac:dyDescent="0.25">
      <c r="A49" t="s">
        <v>11</v>
      </c>
      <c r="B49" t="s">
        <v>51</v>
      </c>
      <c r="C49" t="s">
        <v>217</v>
      </c>
      <c r="D49" s="9">
        <v>43008</v>
      </c>
      <c r="E49" s="9">
        <v>43010</v>
      </c>
      <c r="F49">
        <v>327</v>
      </c>
      <c r="H49">
        <v>30</v>
      </c>
      <c r="I49" t="s">
        <v>218</v>
      </c>
      <c r="J49">
        <v>10085</v>
      </c>
      <c r="K49" t="s">
        <v>11</v>
      </c>
      <c r="L49" t="s">
        <v>964</v>
      </c>
      <c r="M49" t="s">
        <v>964</v>
      </c>
      <c r="N49" t="s">
        <v>965</v>
      </c>
      <c r="O49" s="14">
        <v>80337</v>
      </c>
      <c r="P49" t="s">
        <v>966</v>
      </c>
      <c r="Q49" s="15" t="s">
        <v>848</v>
      </c>
      <c r="R49" s="15" t="s">
        <v>849</v>
      </c>
      <c r="S49" t="s">
        <v>217</v>
      </c>
      <c r="T49" s="9">
        <v>43008</v>
      </c>
      <c r="U49" s="9">
        <v>43010</v>
      </c>
      <c r="V49" s="12">
        <v>327</v>
      </c>
      <c r="W49" s="12">
        <v>30</v>
      </c>
      <c r="X49" s="17">
        <v>0.25</v>
      </c>
      <c r="Y49">
        <v>74.25</v>
      </c>
      <c r="Z49" s="12">
        <v>104.25</v>
      </c>
      <c r="AA49" s="12">
        <v>16.644957983193276</v>
      </c>
      <c r="AB49" s="12">
        <v>192.75</v>
      </c>
      <c r="AF49" s="18">
        <f t="shared" si="0"/>
        <v>0</v>
      </c>
    </row>
    <row r="50" spans="1:32" customFormat="1" x14ac:dyDescent="0.25">
      <c r="A50" t="s">
        <v>15</v>
      </c>
      <c r="B50" t="s">
        <v>16</v>
      </c>
      <c r="C50" t="s">
        <v>219</v>
      </c>
      <c r="D50" s="9">
        <v>43008</v>
      </c>
      <c r="E50" s="9">
        <v>43009</v>
      </c>
      <c r="F50">
        <v>101</v>
      </c>
      <c r="G50">
        <v>1</v>
      </c>
      <c r="H50">
        <v>30</v>
      </c>
      <c r="I50" t="s">
        <v>220</v>
      </c>
      <c r="J50">
        <v>30011</v>
      </c>
      <c r="K50" t="s">
        <v>15</v>
      </c>
      <c r="L50" t="s">
        <v>967</v>
      </c>
      <c r="M50" t="s">
        <v>967</v>
      </c>
      <c r="N50" t="s">
        <v>968</v>
      </c>
      <c r="O50" s="14">
        <v>40477</v>
      </c>
      <c r="P50" t="s">
        <v>969</v>
      </c>
      <c r="Q50" s="15" t="s">
        <v>848</v>
      </c>
      <c r="R50" s="15" t="s">
        <v>849</v>
      </c>
      <c r="S50" t="s">
        <v>219</v>
      </c>
      <c r="T50" s="9">
        <v>43008</v>
      </c>
      <c r="U50" s="9">
        <v>43009</v>
      </c>
      <c r="V50" s="12">
        <v>101</v>
      </c>
      <c r="W50" s="12">
        <v>30</v>
      </c>
      <c r="X50" s="17">
        <v>0.22</v>
      </c>
      <c r="Y50">
        <v>15.62</v>
      </c>
      <c r="Z50" s="12">
        <v>45.62</v>
      </c>
      <c r="AA50" s="12">
        <v>7.2838655462184869</v>
      </c>
      <c r="AB50" s="12">
        <v>25.380000000000003</v>
      </c>
      <c r="AF50" s="18">
        <f t="shared" si="0"/>
        <v>0</v>
      </c>
    </row>
    <row r="51" spans="1:32" customFormat="1" x14ac:dyDescent="0.25">
      <c r="A51" t="s">
        <v>11</v>
      </c>
      <c r="B51" t="s">
        <v>66</v>
      </c>
      <c r="C51" t="s">
        <v>221</v>
      </c>
      <c r="D51" s="9">
        <v>43009</v>
      </c>
      <c r="E51" s="9">
        <v>43015</v>
      </c>
      <c r="F51">
        <v>1143</v>
      </c>
      <c r="H51">
        <v>50</v>
      </c>
      <c r="I51" t="s">
        <v>222</v>
      </c>
      <c r="J51">
        <v>10094</v>
      </c>
      <c r="K51" t="s">
        <v>11</v>
      </c>
      <c r="L51" t="s">
        <v>66</v>
      </c>
      <c r="M51" t="s">
        <v>66</v>
      </c>
      <c r="N51" t="s">
        <v>890</v>
      </c>
      <c r="O51" s="14">
        <v>80804</v>
      </c>
      <c r="P51" t="s">
        <v>891</v>
      </c>
      <c r="Q51" s="15" t="s">
        <v>848</v>
      </c>
      <c r="R51" s="15" t="s">
        <v>849</v>
      </c>
      <c r="S51" t="s">
        <v>221</v>
      </c>
      <c r="T51" s="9">
        <v>43009</v>
      </c>
      <c r="U51" s="9">
        <v>43015</v>
      </c>
      <c r="V51" s="12">
        <v>1143</v>
      </c>
      <c r="W51" s="12">
        <v>50</v>
      </c>
      <c r="X51" s="17">
        <v>0.25</v>
      </c>
      <c r="Y51">
        <v>273.25</v>
      </c>
      <c r="Z51" s="12">
        <v>323.25</v>
      </c>
      <c r="AA51" s="12">
        <v>51.611344537815128</v>
      </c>
      <c r="AB51" s="12">
        <v>769.75</v>
      </c>
      <c r="AF51" s="18">
        <f t="shared" si="0"/>
        <v>0</v>
      </c>
    </row>
    <row r="52" spans="1:32" customFormat="1" x14ac:dyDescent="0.25">
      <c r="A52" t="s">
        <v>9</v>
      </c>
      <c r="B52" t="s">
        <v>10</v>
      </c>
      <c r="C52" t="s">
        <v>223</v>
      </c>
      <c r="D52" s="9">
        <v>43009</v>
      </c>
      <c r="E52" s="9">
        <v>43026</v>
      </c>
      <c r="F52">
        <v>1330</v>
      </c>
      <c r="H52">
        <v>35</v>
      </c>
      <c r="I52" t="s">
        <v>224</v>
      </c>
      <c r="J52">
        <v>20024</v>
      </c>
      <c r="K52" t="s">
        <v>9</v>
      </c>
      <c r="L52" t="s">
        <v>10</v>
      </c>
      <c r="M52" t="s">
        <v>10</v>
      </c>
      <c r="N52" t="s">
        <v>886</v>
      </c>
      <c r="O52" s="14">
        <v>60316</v>
      </c>
      <c r="P52" t="s">
        <v>887</v>
      </c>
      <c r="Q52" s="15" t="s">
        <v>849</v>
      </c>
      <c r="R52" s="15" t="s">
        <v>848</v>
      </c>
      <c r="S52" t="s">
        <v>223</v>
      </c>
      <c r="T52" s="9">
        <v>43009</v>
      </c>
      <c r="U52" s="9">
        <v>43026</v>
      </c>
      <c r="V52" s="12">
        <v>1330</v>
      </c>
      <c r="W52" s="12">
        <v>35</v>
      </c>
      <c r="X52" s="17">
        <v>0.25</v>
      </c>
      <c r="Y52">
        <v>323.75</v>
      </c>
      <c r="Z52" s="12">
        <v>358.75</v>
      </c>
      <c r="AA52" s="12">
        <v>57.279411764705884</v>
      </c>
      <c r="AB52" s="12">
        <v>936.25</v>
      </c>
      <c r="AF52" s="18">
        <f t="shared" si="0"/>
        <v>0</v>
      </c>
    </row>
    <row r="53" spans="1:32" customFormat="1" x14ac:dyDescent="0.25">
      <c r="A53" t="s">
        <v>18</v>
      </c>
      <c r="B53" t="s">
        <v>61</v>
      </c>
      <c r="C53" t="s">
        <v>225</v>
      </c>
      <c r="D53" s="9">
        <v>43009</v>
      </c>
      <c r="E53" s="9">
        <v>43013</v>
      </c>
      <c r="F53">
        <v>230</v>
      </c>
      <c r="H53">
        <v>30</v>
      </c>
      <c r="I53" t="s">
        <v>226</v>
      </c>
      <c r="J53">
        <v>60011</v>
      </c>
      <c r="K53" t="s">
        <v>18</v>
      </c>
      <c r="L53" t="s">
        <v>61</v>
      </c>
      <c r="M53" t="s">
        <v>61</v>
      </c>
      <c r="N53" t="s">
        <v>934</v>
      </c>
      <c r="O53" s="14">
        <v>10711</v>
      </c>
      <c r="P53" t="s">
        <v>935</v>
      </c>
      <c r="Q53" s="15" t="s">
        <v>848</v>
      </c>
      <c r="R53" s="15" t="s">
        <v>849</v>
      </c>
      <c r="S53" t="s">
        <v>225</v>
      </c>
      <c r="T53" s="9">
        <v>43009</v>
      </c>
      <c r="U53" s="9">
        <v>43013</v>
      </c>
      <c r="V53" s="12">
        <v>230</v>
      </c>
      <c r="W53" s="12">
        <v>30</v>
      </c>
      <c r="X53" s="17">
        <v>0.25</v>
      </c>
      <c r="Y53">
        <v>50</v>
      </c>
      <c r="Z53" s="12">
        <v>80</v>
      </c>
      <c r="AA53" s="12">
        <v>12.77310924369748</v>
      </c>
      <c r="AB53" s="12">
        <v>120</v>
      </c>
      <c r="AF53" s="18">
        <f t="shared" si="0"/>
        <v>0</v>
      </c>
    </row>
    <row r="54" spans="1:32" customFormat="1" x14ac:dyDescent="0.25">
      <c r="A54" t="s">
        <v>11</v>
      </c>
      <c r="B54" t="s">
        <v>161</v>
      </c>
      <c r="C54" t="s">
        <v>227</v>
      </c>
      <c r="D54" s="9">
        <v>43010</v>
      </c>
      <c r="E54" s="9">
        <v>43014</v>
      </c>
      <c r="F54">
        <v>347</v>
      </c>
      <c r="H54">
        <v>35</v>
      </c>
      <c r="I54" t="s">
        <v>228</v>
      </c>
      <c r="J54">
        <v>10075</v>
      </c>
      <c r="K54" t="s">
        <v>11</v>
      </c>
      <c r="L54" t="s">
        <v>161</v>
      </c>
      <c r="M54" t="s">
        <v>161</v>
      </c>
      <c r="N54" t="s">
        <v>909</v>
      </c>
      <c r="O54" s="14" t="s">
        <v>910</v>
      </c>
      <c r="P54" t="s">
        <v>911</v>
      </c>
      <c r="Q54" s="15" t="s">
        <v>848</v>
      </c>
      <c r="R54" s="15" t="s">
        <v>849</v>
      </c>
      <c r="S54" t="s">
        <v>227</v>
      </c>
      <c r="T54" s="9">
        <v>43010</v>
      </c>
      <c r="U54" s="9">
        <v>43014</v>
      </c>
      <c r="V54" s="12">
        <v>347</v>
      </c>
      <c r="W54" s="12">
        <v>35</v>
      </c>
      <c r="X54" s="17">
        <v>0.25</v>
      </c>
      <c r="Y54">
        <v>78</v>
      </c>
      <c r="Z54" s="12">
        <v>113</v>
      </c>
      <c r="AA54" s="12">
        <v>18.042016806722689</v>
      </c>
      <c r="AB54" s="12">
        <v>199</v>
      </c>
      <c r="AF54" s="18">
        <f t="shared" si="0"/>
        <v>0</v>
      </c>
    </row>
    <row r="55" spans="1:32" customFormat="1" x14ac:dyDescent="0.25">
      <c r="A55" t="s">
        <v>11</v>
      </c>
      <c r="B55" t="s">
        <v>54</v>
      </c>
      <c r="C55" t="s">
        <v>229</v>
      </c>
      <c r="D55" s="9">
        <v>43010</v>
      </c>
      <c r="E55" s="9">
        <v>43012</v>
      </c>
      <c r="F55">
        <v>179</v>
      </c>
      <c r="H55">
        <v>35</v>
      </c>
      <c r="I55" t="s">
        <v>230</v>
      </c>
      <c r="J55">
        <v>10095</v>
      </c>
      <c r="K55" t="s">
        <v>11</v>
      </c>
      <c r="L55" t="s">
        <v>900</v>
      </c>
      <c r="M55" t="s">
        <v>900</v>
      </c>
      <c r="N55" t="s">
        <v>901</v>
      </c>
      <c r="O55" s="14">
        <v>80337</v>
      </c>
      <c r="P55" t="s">
        <v>902</v>
      </c>
      <c r="Q55" s="15" t="s">
        <v>848</v>
      </c>
      <c r="R55" s="15" t="s">
        <v>849</v>
      </c>
      <c r="S55" t="s">
        <v>229</v>
      </c>
      <c r="T55" s="9">
        <v>43010</v>
      </c>
      <c r="U55" s="9">
        <v>43012</v>
      </c>
      <c r="V55" s="12">
        <v>179</v>
      </c>
      <c r="W55" s="12">
        <v>35</v>
      </c>
      <c r="X55" s="17">
        <v>0.25</v>
      </c>
      <c r="Y55">
        <v>36</v>
      </c>
      <c r="Z55" s="12">
        <v>71</v>
      </c>
      <c r="AA55" s="12">
        <v>11.336134453781513</v>
      </c>
      <c r="AB55" s="12">
        <v>73</v>
      </c>
      <c r="AF55" s="18">
        <f t="shared" si="0"/>
        <v>0</v>
      </c>
    </row>
    <row r="56" spans="1:32" customFormat="1" x14ac:dyDescent="0.25">
      <c r="A56" t="s">
        <v>11</v>
      </c>
      <c r="B56" t="s">
        <v>40</v>
      </c>
      <c r="C56" t="s">
        <v>231</v>
      </c>
      <c r="D56" s="9">
        <v>43011</v>
      </c>
      <c r="E56" s="9">
        <v>43013</v>
      </c>
      <c r="F56">
        <v>301</v>
      </c>
      <c r="H56">
        <v>35</v>
      </c>
      <c r="I56" t="s">
        <v>232</v>
      </c>
      <c r="J56">
        <v>10018</v>
      </c>
      <c r="K56" t="s">
        <v>11</v>
      </c>
      <c r="L56" t="s">
        <v>944</v>
      </c>
      <c r="M56" t="s">
        <v>944</v>
      </c>
      <c r="N56" t="s">
        <v>945</v>
      </c>
      <c r="O56" s="14">
        <v>80803</v>
      </c>
      <c r="P56" t="s">
        <v>946</v>
      </c>
      <c r="Q56" s="15" t="s">
        <v>849</v>
      </c>
      <c r="R56" s="15" t="s">
        <v>848</v>
      </c>
      <c r="S56" t="s">
        <v>231</v>
      </c>
      <c r="T56" s="9">
        <v>43011</v>
      </c>
      <c r="U56" s="9">
        <v>43013</v>
      </c>
      <c r="V56" s="12">
        <v>301</v>
      </c>
      <c r="W56" s="12">
        <v>35</v>
      </c>
      <c r="X56" s="17">
        <v>0.25</v>
      </c>
      <c r="Y56">
        <v>66.5</v>
      </c>
      <c r="Z56" s="12">
        <v>101.5</v>
      </c>
      <c r="AA56" s="12">
        <v>16.205882352941178</v>
      </c>
      <c r="AB56" s="12">
        <v>164.5</v>
      </c>
      <c r="AF56" s="18">
        <f t="shared" si="0"/>
        <v>0</v>
      </c>
    </row>
    <row r="57" spans="1:32" customFormat="1" x14ac:dyDescent="0.25">
      <c r="A57" t="s">
        <v>11</v>
      </c>
      <c r="B57" t="s">
        <v>27</v>
      </c>
      <c r="C57" t="s">
        <v>233</v>
      </c>
      <c r="D57" s="9">
        <v>43011</v>
      </c>
      <c r="E57" s="9">
        <v>43014</v>
      </c>
      <c r="F57">
        <v>616</v>
      </c>
      <c r="H57">
        <v>60</v>
      </c>
      <c r="I57" t="s">
        <v>234</v>
      </c>
      <c r="J57">
        <v>10093</v>
      </c>
      <c r="K57" t="s">
        <v>11</v>
      </c>
      <c r="L57" t="s">
        <v>27</v>
      </c>
      <c r="M57" t="s">
        <v>970</v>
      </c>
      <c r="N57" t="s">
        <v>971</v>
      </c>
      <c r="O57" s="14">
        <v>80469</v>
      </c>
      <c r="P57" t="s">
        <v>972</v>
      </c>
      <c r="Q57" s="15" t="s">
        <v>848</v>
      </c>
      <c r="R57" s="15" t="s">
        <v>849</v>
      </c>
      <c r="S57" t="s">
        <v>233</v>
      </c>
      <c r="T57" s="9">
        <v>43011</v>
      </c>
      <c r="U57" s="9">
        <v>43014</v>
      </c>
      <c r="V57" s="12">
        <v>616</v>
      </c>
      <c r="W57" s="12">
        <v>60</v>
      </c>
      <c r="X57" s="17">
        <v>0.25</v>
      </c>
      <c r="Y57">
        <v>139</v>
      </c>
      <c r="Z57" s="12">
        <v>199</v>
      </c>
      <c r="AA57" s="12">
        <v>31.77310924369748</v>
      </c>
      <c r="AB57" s="12">
        <v>357</v>
      </c>
      <c r="AF57" s="18">
        <f t="shared" si="0"/>
        <v>0</v>
      </c>
    </row>
    <row r="58" spans="1:32" customFormat="1" x14ac:dyDescent="0.25">
      <c r="A58" t="s">
        <v>11</v>
      </c>
      <c r="B58" t="s">
        <v>158</v>
      </c>
      <c r="C58" t="s">
        <v>235</v>
      </c>
      <c r="D58" s="9">
        <v>43011</v>
      </c>
      <c r="E58" s="9">
        <v>43013</v>
      </c>
      <c r="F58">
        <v>177</v>
      </c>
      <c r="G58" t="s">
        <v>236</v>
      </c>
      <c r="H58">
        <v>45</v>
      </c>
      <c r="I58" t="s">
        <v>237</v>
      </c>
      <c r="J58">
        <v>10102</v>
      </c>
      <c r="K58" t="s">
        <v>11</v>
      </c>
      <c r="L58" t="s">
        <v>906</v>
      </c>
      <c r="M58" t="s">
        <v>906</v>
      </c>
      <c r="N58" t="s">
        <v>907</v>
      </c>
      <c r="O58" s="14">
        <v>81541</v>
      </c>
      <c r="P58" t="s">
        <v>908</v>
      </c>
      <c r="Q58" s="15" t="s">
        <v>848</v>
      </c>
      <c r="R58" s="15" t="s">
        <v>849</v>
      </c>
      <c r="S58" t="s">
        <v>235</v>
      </c>
      <c r="T58" s="9">
        <v>43011</v>
      </c>
      <c r="U58" s="9">
        <v>43013</v>
      </c>
      <c r="V58" s="12">
        <v>177</v>
      </c>
      <c r="W58" s="12">
        <v>45</v>
      </c>
      <c r="X58" s="17">
        <v>0.25</v>
      </c>
      <c r="Y58">
        <v>33</v>
      </c>
      <c r="Z58" s="12">
        <v>78</v>
      </c>
      <c r="AA58" s="12">
        <v>12.453781512605042</v>
      </c>
      <c r="AB58" s="12">
        <v>54</v>
      </c>
      <c r="AF58" s="18">
        <f t="shared" si="0"/>
        <v>0</v>
      </c>
    </row>
    <row r="59" spans="1:32" customFormat="1" x14ac:dyDescent="0.25">
      <c r="A59" t="s">
        <v>11</v>
      </c>
      <c r="B59" t="s">
        <v>58</v>
      </c>
      <c r="C59" t="s">
        <v>238</v>
      </c>
      <c r="D59" s="9">
        <v>43011</v>
      </c>
      <c r="E59" s="9">
        <v>43013</v>
      </c>
      <c r="F59">
        <v>275</v>
      </c>
      <c r="H59">
        <v>50</v>
      </c>
      <c r="I59" t="s">
        <v>239</v>
      </c>
      <c r="J59">
        <v>10043</v>
      </c>
      <c r="K59" t="s">
        <v>11</v>
      </c>
      <c r="L59" t="s">
        <v>973</v>
      </c>
      <c r="M59" t="s">
        <v>973</v>
      </c>
      <c r="N59" t="s">
        <v>974</v>
      </c>
      <c r="O59" s="14">
        <v>80469</v>
      </c>
      <c r="P59" t="s">
        <v>975</v>
      </c>
      <c r="Q59" s="15" t="s">
        <v>849</v>
      </c>
      <c r="R59" s="15" t="s">
        <v>848</v>
      </c>
      <c r="S59" t="s">
        <v>238</v>
      </c>
      <c r="T59" s="9">
        <v>43011</v>
      </c>
      <c r="U59" s="9">
        <v>43013</v>
      </c>
      <c r="V59" s="12">
        <v>275</v>
      </c>
      <c r="W59" s="12">
        <v>50</v>
      </c>
      <c r="X59" s="17">
        <v>0.2</v>
      </c>
      <c r="Y59">
        <v>45</v>
      </c>
      <c r="Z59" s="12">
        <v>95</v>
      </c>
      <c r="AA59" s="12">
        <v>15.168067226890757</v>
      </c>
      <c r="AB59" s="12">
        <v>130</v>
      </c>
      <c r="AF59" s="18">
        <f t="shared" si="0"/>
        <v>0</v>
      </c>
    </row>
    <row r="60" spans="1:32" customFormat="1" x14ac:dyDescent="0.25">
      <c r="A60" t="s">
        <v>15</v>
      </c>
      <c r="B60" t="s">
        <v>19</v>
      </c>
      <c r="C60" t="s">
        <v>20</v>
      </c>
      <c r="D60" s="9">
        <v>43011</v>
      </c>
      <c r="E60" s="9">
        <v>43013</v>
      </c>
      <c r="F60">
        <v>193</v>
      </c>
      <c r="H60">
        <v>35</v>
      </c>
      <c r="I60" t="s">
        <v>240</v>
      </c>
      <c r="J60">
        <v>30019</v>
      </c>
      <c r="K60" t="s">
        <v>15</v>
      </c>
      <c r="L60" t="s">
        <v>927</v>
      </c>
      <c r="M60" t="s">
        <v>927</v>
      </c>
      <c r="N60" t="s">
        <v>928</v>
      </c>
      <c r="O60" s="14">
        <v>40476</v>
      </c>
      <c r="P60" t="s">
        <v>929</v>
      </c>
      <c r="Q60" s="15" t="s">
        <v>848</v>
      </c>
      <c r="R60" s="15" t="s">
        <v>849</v>
      </c>
      <c r="S60" t="s">
        <v>20</v>
      </c>
      <c r="T60" s="9">
        <v>43011</v>
      </c>
      <c r="U60" s="9">
        <v>43013</v>
      </c>
      <c r="V60" s="12">
        <v>193</v>
      </c>
      <c r="W60" s="12">
        <v>35</v>
      </c>
      <c r="X60" s="17">
        <v>0.25</v>
      </c>
      <c r="Y60">
        <v>39.5</v>
      </c>
      <c r="Z60" s="12">
        <v>74.5</v>
      </c>
      <c r="AA60" s="12">
        <v>11.894957983193278</v>
      </c>
      <c r="AB60" s="12">
        <v>83.5</v>
      </c>
      <c r="AF60" s="18">
        <f t="shared" si="0"/>
        <v>0</v>
      </c>
    </row>
    <row r="61" spans="1:32" customFormat="1" x14ac:dyDescent="0.25">
      <c r="A61" t="s">
        <v>11</v>
      </c>
      <c r="B61" t="s">
        <v>191</v>
      </c>
      <c r="C61" t="s">
        <v>241</v>
      </c>
      <c r="D61" s="9">
        <v>43011</v>
      </c>
      <c r="E61" s="9">
        <v>43013</v>
      </c>
      <c r="F61">
        <v>204</v>
      </c>
      <c r="H61">
        <v>40</v>
      </c>
      <c r="I61" t="s">
        <v>242</v>
      </c>
      <c r="J61">
        <v>10083</v>
      </c>
      <c r="K61" t="s">
        <v>11</v>
      </c>
      <c r="L61" t="s">
        <v>191</v>
      </c>
      <c r="M61" t="s">
        <v>191</v>
      </c>
      <c r="N61" t="s">
        <v>939</v>
      </c>
      <c r="O61" s="14">
        <v>81243</v>
      </c>
      <c r="P61" t="s">
        <v>940</v>
      </c>
      <c r="Q61" s="15" t="s">
        <v>848</v>
      </c>
      <c r="R61" s="15" t="s">
        <v>849</v>
      </c>
      <c r="S61" t="s">
        <v>241</v>
      </c>
      <c r="T61" s="9">
        <v>43011</v>
      </c>
      <c r="U61" s="9">
        <v>43013</v>
      </c>
      <c r="V61" s="12">
        <v>204</v>
      </c>
      <c r="W61" s="12">
        <v>40</v>
      </c>
      <c r="X61" s="17">
        <v>0.25</v>
      </c>
      <c r="Y61">
        <v>41</v>
      </c>
      <c r="Z61" s="12">
        <v>81</v>
      </c>
      <c r="AA61" s="12">
        <v>12.932773109243698</v>
      </c>
      <c r="AB61" s="12">
        <v>83</v>
      </c>
      <c r="AF61" s="18">
        <f t="shared" si="0"/>
        <v>0</v>
      </c>
    </row>
    <row r="62" spans="1:32" customFormat="1" x14ac:dyDescent="0.25">
      <c r="A62" t="s">
        <v>9</v>
      </c>
      <c r="B62" t="s">
        <v>28</v>
      </c>
      <c r="C62" t="s">
        <v>243</v>
      </c>
      <c r="D62" s="9">
        <v>43011</v>
      </c>
      <c r="E62" s="9">
        <v>43013</v>
      </c>
      <c r="F62">
        <v>106</v>
      </c>
      <c r="G62">
        <v>1</v>
      </c>
      <c r="H62">
        <v>30</v>
      </c>
      <c r="I62" t="s">
        <v>244</v>
      </c>
      <c r="J62">
        <v>20028</v>
      </c>
      <c r="K62" t="s">
        <v>9</v>
      </c>
      <c r="L62" t="s">
        <v>28</v>
      </c>
      <c r="M62" t="s">
        <v>28</v>
      </c>
      <c r="N62" t="s">
        <v>895</v>
      </c>
      <c r="O62" s="14">
        <v>60313</v>
      </c>
      <c r="P62" t="s">
        <v>896</v>
      </c>
      <c r="Q62" s="15" t="s">
        <v>848</v>
      </c>
      <c r="R62" s="15" t="s">
        <v>849</v>
      </c>
      <c r="S62" t="s">
        <v>243</v>
      </c>
      <c r="T62" s="9">
        <v>43011</v>
      </c>
      <c r="U62" s="9">
        <v>43013</v>
      </c>
      <c r="V62" s="12">
        <v>106</v>
      </c>
      <c r="W62" s="12">
        <v>30</v>
      </c>
      <c r="X62" s="17">
        <v>0.25</v>
      </c>
      <c r="Y62">
        <v>19</v>
      </c>
      <c r="Z62" s="12">
        <v>49</v>
      </c>
      <c r="AA62" s="12">
        <v>7.8235294117647056</v>
      </c>
      <c r="AB62" s="12">
        <v>27</v>
      </c>
      <c r="AF62" s="18">
        <f t="shared" si="0"/>
        <v>0</v>
      </c>
    </row>
    <row r="63" spans="1:32" customFormat="1" x14ac:dyDescent="0.25">
      <c r="A63" t="s">
        <v>15</v>
      </c>
      <c r="B63" t="s">
        <v>17</v>
      </c>
      <c r="C63" t="s">
        <v>245</v>
      </c>
      <c r="D63" s="9">
        <v>43011</v>
      </c>
      <c r="E63" s="9">
        <v>43015</v>
      </c>
      <c r="F63">
        <v>413</v>
      </c>
      <c r="H63">
        <v>40</v>
      </c>
      <c r="I63" t="s">
        <v>246</v>
      </c>
      <c r="J63">
        <v>30022</v>
      </c>
      <c r="K63" t="s">
        <v>15</v>
      </c>
      <c r="L63" t="s">
        <v>892</v>
      </c>
      <c r="M63" t="s">
        <v>892</v>
      </c>
      <c r="N63" t="s">
        <v>893</v>
      </c>
      <c r="O63" s="14">
        <v>40225</v>
      </c>
      <c r="P63" t="s">
        <v>894</v>
      </c>
      <c r="Q63" s="15" t="s">
        <v>848</v>
      </c>
      <c r="R63" s="15" t="s">
        <v>849</v>
      </c>
      <c r="S63" t="s">
        <v>245</v>
      </c>
      <c r="T63" s="9">
        <v>43011</v>
      </c>
      <c r="U63" s="9">
        <v>43015</v>
      </c>
      <c r="V63" s="12">
        <v>413</v>
      </c>
      <c r="W63" s="12">
        <v>40</v>
      </c>
      <c r="X63" s="17">
        <v>0.2</v>
      </c>
      <c r="Y63">
        <v>74.600000000000009</v>
      </c>
      <c r="Z63" s="12">
        <v>114.60000000000001</v>
      </c>
      <c r="AA63" s="12">
        <v>18.297478991596638</v>
      </c>
      <c r="AB63" s="12">
        <v>258.39999999999998</v>
      </c>
      <c r="AF63" s="18">
        <f t="shared" si="0"/>
        <v>0</v>
      </c>
    </row>
    <row r="64" spans="1:32" customFormat="1" x14ac:dyDescent="0.25">
      <c r="A64" t="s">
        <v>12</v>
      </c>
      <c r="B64" t="s">
        <v>41</v>
      </c>
      <c r="C64" t="s">
        <v>247</v>
      </c>
      <c r="D64" s="9">
        <v>43012</v>
      </c>
      <c r="E64" s="9">
        <v>43024</v>
      </c>
      <c r="F64">
        <v>746</v>
      </c>
      <c r="G64">
        <v>2</v>
      </c>
      <c r="H64">
        <v>35</v>
      </c>
      <c r="I64" t="s">
        <v>248</v>
      </c>
      <c r="J64">
        <v>50027</v>
      </c>
      <c r="K64" t="s">
        <v>12</v>
      </c>
      <c r="L64" t="s">
        <v>853</v>
      </c>
      <c r="M64" t="s">
        <v>41</v>
      </c>
      <c r="N64" t="s">
        <v>854</v>
      </c>
      <c r="O64" s="14">
        <v>25980</v>
      </c>
      <c r="P64" t="s">
        <v>855</v>
      </c>
      <c r="Q64" s="15" t="s">
        <v>849</v>
      </c>
      <c r="R64" s="15" t="s">
        <v>848</v>
      </c>
      <c r="S64" t="s">
        <v>247</v>
      </c>
      <c r="T64" s="9">
        <v>43012</v>
      </c>
      <c r="U64" s="9">
        <v>43024</v>
      </c>
      <c r="V64" s="12">
        <v>746</v>
      </c>
      <c r="W64" s="12">
        <v>35</v>
      </c>
      <c r="X64" s="17">
        <v>0.25</v>
      </c>
      <c r="Y64">
        <v>177.75</v>
      </c>
      <c r="Z64" s="12">
        <v>212.75</v>
      </c>
      <c r="AA64" s="12">
        <v>33.968487394957982</v>
      </c>
      <c r="AB64" s="12">
        <v>498.25</v>
      </c>
      <c r="AF64" s="18">
        <f t="shared" si="0"/>
        <v>0</v>
      </c>
    </row>
    <row r="65" spans="1:32" customFormat="1" x14ac:dyDescent="0.25">
      <c r="A65" t="s">
        <v>11</v>
      </c>
      <c r="B65" t="s">
        <v>24</v>
      </c>
      <c r="C65" t="s">
        <v>249</v>
      </c>
      <c r="D65" s="9">
        <v>43012</v>
      </c>
      <c r="E65" s="9">
        <v>43014</v>
      </c>
      <c r="F65">
        <v>294</v>
      </c>
      <c r="G65">
        <v>1</v>
      </c>
      <c r="H65">
        <v>35</v>
      </c>
      <c r="I65" t="s">
        <v>250</v>
      </c>
      <c r="J65">
        <v>10081</v>
      </c>
      <c r="K65" t="s">
        <v>11</v>
      </c>
      <c r="L65" t="s">
        <v>24</v>
      </c>
      <c r="M65" t="s">
        <v>24</v>
      </c>
      <c r="N65" t="s">
        <v>877</v>
      </c>
      <c r="O65" s="14">
        <v>80331</v>
      </c>
      <c r="P65" t="s">
        <v>878</v>
      </c>
      <c r="Q65" s="15" t="s">
        <v>849</v>
      </c>
      <c r="R65" s="15" t="s">
        <v>848</v>
      </c>
      <c r="S65" t="s">
        <v>249</v>
      </c>
      <c r="T65" s="9">
        <v>43012</v>
      </c>
      <c r="U65" s="9">
        <v>43014</v>
      </c>
      <c r="V65" s="12">
        <v>294</v>
      </c>
      <c r="W65" s="12">
        <v>35</v>
      </c>
      <c r="X65" s="17">
        <v>0.25</v>
      </c>
      <c r="Y65">
        <v>64.75</v>
      </c>
      <c r="Z65" s="12">
        <v>99.75</v>
      </c>
      <c r="AA65" s="12">
        <v>15.926470588235295</v>
      </c>
      <c r="AB65" s="12">
        <v>159.25</v>
      </c>
      <c r="AF65" s="18">
        <f t="shared" si="0"/>
        <v>0</v>
      </c>
    </row>
    <row r="66" spans="1:32" customFormat="1" x14ac:dyDescent="0.25">
      <c r="A66" t="s">
        <v>11</v>
      </c>
      <c r="B66" t="s">
        <v>54</v>
      </c>
      <c r="C66" t="s">
        <v>251</v>
      </c>
      <c r="D66" s="9">
        <v>43012</v>
      </c>
      <c r="E66" s="9">
        <v>43014</v>
      </c>
      <c r="F66">
        <v>160</v>
      </c>
      <c r="G66">
        <v>-2</v>
      </c>
      <c r="H66">
        <v>35</v>
      </c>
      <c r="I66" t="s">
        <v>252</v>
      </c>
      <c r="J66">
        <v>10095</v>
      </c>
      <c r="K66" t="s">
        <v>11</v>
      </c>
      <c r="L66" t="s">
        <v>900</v>
      </c>
      <c r="M66" t="s">
        <v>900</v>
      </c>
      <c r="N66" t="s">
        <v>901</v>
      </c>
      <c r="O66" s="14">
        <v>80337</v>
      </c>
      <c r="P66" t="s">
        <v>902</v>
      </c>
      <c r="Q66" s="15" t="s">
        <v>848</v>
      </c>
      <c r="R66" s="15" t="s">
        <v>849</v>
      </c>
      <c r="S66" t="s">
        <v>251</v>
      </c>
      <c r="T66" s="9">
        <v>43012</v>
      </c>
      <c r="U66" s="9">
        <v>43014</v>
      </c>
      <c r="V66" s="12">
        <v>160</v>
      </c>
      <c r="W66" s="12">
        <v>35</v>
      </c>
      <c r="X66" s="17">
        <v>0.25</v>
      </c>
      <c r="Y66">
        <v>31.25</v>
      </c>
      <c r="Z66" s="12">
        <v>66.25</v>
      </c>
      <c r="AA66" s="12">
        <v>10.577731092436975</v>
      </c>
      <c r="AB66" s="12">
        <v>58.75</v>
      </c>
      <c r="AF66" s="18">
        <f t="shared" si="0"/>
        <v>0</v>
      </c>
    </row>
    <row r="67" spans="1:32" customFormat="1" x14ac:dyDescent="0.25">
      <c r="A67" t="s">
        <v>11</v>
      </c>
      <c r="B67" t="s">
        <v>69</v>
      </c>
      <c r="C67" t="s">
        <v>253</v>
      </c>
      <c r="D67" s="9">
        <v>43012</v>
      </c>
      <c r="E67" s="9">
        <v>43014</v>
      </c>
      <c r="F67">
        <v>225</v>
      </c>
      <c r="H67">
        <v>40</v>
      </c>
      <c r="I67" t="s">
        <v>254</v>
      </c>
      <c r="J67">
        <v>10098</v>
      </c>
      <c r="K67" t="s">
        <v>11</v>
      </c>
      <c r="L67" t="s">
        <v>869</v>
      </c>
      <c r="M67" t="s">
        <v>869</v>
      </c>
      <c r="N67" t="s">
        <v>870</v>
      </c>
      <c r="O67" s="14">
        <v>80469</v>
      </c>
      <c r="P67" t="s">
        <v>871</v>
      </c>
      <c r="Q67" s="15" t="s">
        <v>848</v>
      </c>
      <c r="R67" s="15" t="s">
        <v>849</v>
      </c>
      <c r="S67" t="s">
        <v>253</v>
      </c>
      <c r="T67" s="9">
        <v>43012</v>
      </c>
      <c r="U67" s="9">
        <v>43014</v>
      </c>
      <c r="V67" s="12">
        <v>225</v>
      </c>
      <c r="W67" s="12">
        <v>40</v>
      </c>
      <c r="X67" s="17">
        <v>0.25</v>
      </c>
      <c r="Y67">
        <v>46.25</v>
      </c>
      <c r="Z67" s="12">
        <v>86.25</v>
      </c>
      <c r="AA67" s="12">
        <v>13.771008403361344</v>
      </c>
      <c r="AB67" s="12">
        <v>98.75</v>
      </c>
      <c r="AF67" s="18">
        <f t="shared" ref="AF67:AF130" si="1">AE67/119*19</f>
        <v>0</v>
      </c>
    </row>
    <row r="68" spans="1:32" customFormat="1" x14ac:dyDescent="0.25">
      <c r="A68" t="s">
        <v>11</v>
      </c>
      <c r="B68" t="s">
        <v>78</v>
      </c>
      <c r="C68" t="s">
        <v>255</v>
      </c>
      <c r="D68" s="9">
        <v>43012</v>
      </c>
      <c r="E68" s="9">
        <v>43014</v>
      </c>
      <c r="F68">
        <v>227</v>
      </c>
      <c r="H68">
        <v>65</v>
      </c>
      <c r="I68" t="s">
        <v>256</v>
      </c>
      <c r="J68">
        <v>10099</v>
      </c>
      <c r="K68" t="s">
        <v>11</v>
      </c>
      <c r="L68" t="s">
        <v>78</v>
      </c>
      <c r="M68" t="s">
        <v>897</v>
      </c>
      <c r="N68" t="s">
        <v>898</v>
      </c>
      <c r="O68" s="14">
        <v>80639</v>
      </c>
      <c r="P68" t="s">
        <v>899</v>
      </c>
      <c r="Q68" s="15" t="s">
        <v>848</v>
      </c>
      <c r="R68" s="15" t="s">
        <v>849</v>
      </c>
      <c r="S68" t="s">
        <v>255</v>
      </c>
      <c r="T68" s="9">
        <v>43012</v>
      </c>
      <c r="U68" s="9">
        <v>43014</v>
      </c>
      <c r="V68" s="12">
        <v>227</v>
      </c>
      <c r="W68" s="12">
        <v>65</v>
      </c>
      <c r="X68" s="17">
        <v>0.25</v>
      </c>
      <c r="Y68">
        <v>40.5</v>
      </c>
      <c r="Z68" s="12">
        <v>105.5</v>
      </c>
      <c r="AA68" s="12">
        <v>16.844537815126049</v>
      </c>
      <c r="AB68" s="12">
        <v>56.5</v>
      </c>
      <c r="AF68" s="18">
        <f t="shared" si="1"/>
        <v>0</v>
      </c>
    </row>
    <row r="69" spans="1:32" customFormat="1" x14ac:dyDescent="0.25">
      <c r="A69" t="s">
        <v>12</v>
      </c>
      <c r="B69" t="s">
        <v>13</v>
      </c>
      <c r="C69" t="s">
        <v>257</v>
      </c>
      <c r="D69" s="9">
        <v>43012</v>
      </c>
      <c r="E69" s="9">
        <v>43015</v>
      </c>
      <c r="F69">
        <v>239</v>
      </c>
      <c r="G69">
        <v>1</v>
      </c>
      <c r="H69">
        <v>35</v>
      </c>
      <c r="I69" t="s">
        <v>258</v>
      </c>
      <c r="J69">
        <v>50014</v>
      </c>
      <c r="K69" t="s">
        <v>12</v>
      </c>
      <c r="L69" t="s">
        <v>950</v>
      </c>
      <c r="M69" t="s">
        <v>950</v>
      </c>
      <c r="N69" t="s">
        <v>951</v>
      </c>
      <c r="O69" s="14">
        <v>22767</v>
      </c>
      <c r="P69" t="s">
        <v>952</v>
      </c>
      <c r="Q69" s="15" t="s">
        <v>848</v>
      </c>
      <c r="R69" s="15" t="s">
        <v>849</v>
      </c>
      <c r="S69" t="s">
        <v>257</v>
      </c>
      <c r="T69" s="9">
        <v>43012</v>
      </c>
      <c r="U69" s="9">
        <v>43015</v>
      </c>
      <c r="V69" s="12">
        <v>239</v>
      </c>
      <c r="W69" s="12">
        <v>35</v>
      </c>
      <c r="X69" s="17">
        <v>0.25</v>
      </c>
      <c r="Y69">
        <v>51</v>
      </c>
      <c r="Z69" s="12">
        <v>86</v>
      </c>
      <c r="AA69" s="12">
        <v>13.731092436974789</v>
      </c>
      <c r="AB69" s="12">
        <v>118</v>
      </c>
      <c r="AF69" s="18">
        <f t="shared" si="1"/>
        <v>0</v>
      </c>
    </row>
    <row r="70" spans="1:32" customFormat="1" x14ac:dyDescent="0.25">
      <c r="A70" t="s">
        <v>11</v>
      </c>
      <c r="B70" t="s">
        <v>113</v>
      </c>
      <c r="C70" t="s">
        <v>259</v>
      </c>
      <c r="D70" s="9">
        <v>43012</v>
      </c>
      <c r="E70" s="9">
        <v>43014</v>
      </c>
      <c r="F70">
        <v>270</v>
      </c>
      <c r="H70">
        <v>65</v>
      </c>
      <c r="I70" t="s">
        <v>260</v>
      </c>
      <c r="J70">
        <v>10101</v>
      </c>
      <c r="K70" t="s">
        <v>11</v>
      </c>
      <c r="L70" t="s">
        <v>856</v>
      </c>
      <c r="M70" t="s">
        <v>856</v>
      </c>
      <c r="N70" t="s">
        <v>857</v>
      </c>
      <c r="O70" s="14" t="s">
        <v>858</v>
      </c>
      <c r="P70" t="s">
        <v>859</v>
      </c>
      <c r="Q70" s="15" t="s">
        <v>848</v>
      </c>
      <c r="R70" s="15" t="s">
        <v>849</v>
      </c>
      <c r="S70" t="s">
        <v>259</v>
      </c>
      <c r="T70" s="9">
        <v>43012</v>
      </c>
      <c r="U70" s="9">
        <v>43014</v>
      </c>
      <c r="V70" s="12">
        <v>270</v>
      </c>
      <c r="W70" s="12">
        <v>65</v>
      </c>
      <c r="X70" s="17">
        <v>0.25</v>
      </c>
      <c r="Y70">
        <v>51.25</v>
      </c>
      <c r="Z70" s="12">
        <v>116.25</v>
      </c>
      <c r="AA70" s="12">
        <v>18.560924369747898</v>
      </c>
      <c r="AB70" s="12">
        <v>88.75</v>
      </c>
      <c r="AF70" s="18">
        <f t="shared" si="1"/>
        <v>0</v>
      </c>
    </row>
    <row r="71" spans="1:32" customFormat="1" x14ac:dyDescent="0.25">
      <c r="A71" t="s">
        <v>12</v>
      </c>
      <c r="B71" t="s">
        <v>36</v>
      </c>
      <c r="C71" t="s">
        <v>261</v>
      </c>
      <c r="D71" s="9">
        <v>43012</v>
      </c>
      <c r="E71" s="9">
        <v>43014</v>
      </c>
      <c r="F71">
        <v>162</v>
      </c>
      <c r="H71">
        <v>35</v>
      </c>
      <c r="I71" t="s">
        <v>262</v>
      </c>
      <c r="J71">
        <v>50034</v>
      </c>
      <c r="K71" t="s">
        <v>12</v>
      </c>
      <c r="L71" t="s">
        <v>36</v>
      </c>
      <c r="M71" t="s">
        <v>36</v>
      </c>
      <c r="N71" t="s">
        <v>976</v>
      </c>
      <c r="O71" s="14">
        <v>22763</v>
      </c>
      <c r="P71" t="s">
        <v>977</v>
      </c>
      <c r="Q71" s="15" t="s">
        <v>848</v>
      </c>
      <c r="R71" s="15" t="s">
        <v>849</v>
      </c>
      <c r="S71" t="s">
        <v>261</v>
      </c>
      <c r="T71" s="9">
        <v>43012</v>
      </c>
      <c r="U71" s="9">
        <v>43014</v>
      </c>
      <c r="V71" s="12">
        <v>162</v>
      </c>
      <c r="W71" s="12">
        <v>35</v>
      </c>
      <c r="X71" s="17">
        <v>0.25</v>
      </c>
      <c r="Y71">
        <v>31.75</v>
      </c>
      <c r="Z71" s="12">
        <v>66.75</v>
      </c>
      <c r="AA71" s="12">
        <v>10.657563025210084</v>
      </c>
      <c r="AB71" s="12">
        <v>60.25</v>
      </c>
      <c r="AF71" s="18">
        <f t="shared" si="1"/>
        <v>0</v>
      </c>
    </row>
    <row r="72" spans="1:32" customFormat="1" x14ac:dyDescent="0.25">
      <c r="A72" t="s">
        <v>11</v>
      </c>
      <c r="B72" t="s">
        <v>263</v>
      </c>
      <c r="C72" t="s">
        <v>264</v>
      </c>
      <c r="D72" s="9">
        <v>43012</v>
      </c>
      <c r="E72" s="9">
        <v>43014</v>
      </c>
      <c r="F72">
        <v>209</v>
      </c>
      <c r="G72">
        <v>-1</v>
      </c>
      <c r="H72">
        <v>40</v>
      </c>
      <c r="I72" t="s">
        <v>265</v>
      </c>
      <c r="J72">
        <v>10104</v>
      </c>
      <c r="K72" t="s">
        <v>11</v>
      </c>
      <c r="L72" t="s">
        <v>263</v>
      </c>
      <c r="M72" t="s">
        <v>263</v>
      </c>
      <c r="N72" t="s">
        <v>978</v>
      </c>
      <c r="O72" s="14">
        <v>81539</v>
      </c>
      <c r="P72" t="s">
        <v>979</v>
      </c>
      <c r="Q72" s="15" t="s">
        <v>848</v>
      </c>
      <c r="R72" s="15" t="s">
        <v>849</v>
      </c>
      <c r="S72" t="s">
        <v>264</v>
      </c>
      <c r="T72" s="9">
        <v>43012</v>
      </c>
      <c r="U72" s="9">
        <v>43014</v>
      </c>
      <c r="V72" s="12">
        <v>209</v>
      </c>
      <c r="W72" s="12">
        <v>40</v>
      </c>
      <c r="X72" s="17">
        <v>0.25</v>
      </c>
      <c r="Y72">
        <v>42.25</v>
      </c>
      <c r="Z72" s="12">
        <v>82.25</v>
      </c>
      <c r="AA72" s="12">
        <v>13.132352941176471</v>
      </c>
      <c r="AB72" s="12">
        <v>86.75</v>
      </c>
      <c r="AF72" s="18">
        <f t="shared" si="1"/>
        <v>0</v>
      </c>
    </row>
    <row r="73" spans="1:32" customFormat="1" x14ac:dyDescent="0.25">
      <c r="A73" t="s">
        <v>18</v>
      </c>
      <c r="B73" t="s">
        <v>266</v>
      </c>
      <c r="C73" t="s">
        <v>267</v>
      </c>
      <c r="D73" s="9">
        <v>43012</v>
      </c>
      <c r="E73" s="9">
        <v>43015</v>
      </c>
      <c r="F73">
        <v>216</v>
      </c>
      <c r="H73">
        <v>45</v>
      </c>
      <c r="I73" t="s">
        <v>268</v>
      </c>
      <c r="J73">
        <v>60002</v>
      </c>
      <c r="K73" t="s">
        <v>18</v>
      </c>
      <c r="L73" t="s">
        <v>980</v>
      </c>
      <c r="M73" t="s">
        <v>980</v>
      </c>
      <c r="N73" t="s">
        <v>981</v>
      </c>
      <c r="O73" s="14">
        <v>12047</v>
      </c>
      <c r="P73" t="s">
        <v>982</v>
      </c>
      <c r="Q73" s="15" t="s">
        <v>848</v>
      </c>
      <c r="R73" s="15" t="s">
        <v>849</v>
      </c>
      <c r="S73" t="s">
        <v>267</v>
      </c>
      <c r="T73" s="9">
        <v>43012</v>
      </c>
      <c r="U73" s="9">
        <v>43015</v>
      </c>
      <c r="V73" s="12">
        <v>216</v>
      </c>
      <c r="W73" s="12">
        <v>45</v>
      </c>
      <c r="X73" s="17">
        <v>0.25</v>
      </c>
      <c r="Y73">
        <v>42.75</v>
      </c>
      <c r="Z73" s="12">
        <v>87.75</v>
      </c>
      <c r="AA73" s="12">
        <v>14.010504201680673</v>
      </c>
      <c r="AB73" s="12">
        <v>83.25</v>
      </c>
      <c r="AF73" s="18">
        <f t="shared" si="1"/>
        <v>0</v>
      </c>
    </row>
    <row r="74" spans="1:32" customFormat="1" x14ac:dyDescent="0.25">
      <c r="A74" t="s">
        <v>11</v>
      </c>
      <c r="B74" t="s">
        <v>65</v>
      </c>
      <c r="C74" t="s">
        <v>22</v>
      </c>
      <c r="D74" s="9">
        <v>43012</v>
      </c>
      <c r="E74" s="9">
        <v>43014</v>
      </c>
      <c r="F74">
        <v>194</v>
      </c>
      <c r="H74">
        <v>45</v>
      </c>
      <c r="I74" t="s">
        <v>269</v>
      </c>
      <c r="J74">
        <v>10097</v>
      </c>
      <c r="K74" t="s">
        <v>11</v>
      </c>
      <c r="L74" t="s">
        <v>65</v>
      </c>
      <c r="M74" t="s">
        <v>65</v>
      </c>
      <c r="N74" t="s">
        <v>983</v>
      </c>
      <c r="O74" s="14">
        <v>80339</v>
      </c>
      <c r="P74" t="s">
        <v>984</v>
      </c>
      <c r="Q74" s="15" t="s">
        <v>848</v>
      </c>
      <c r="R74" s="15" t="s">
        <v>849</v>
      </c>
      <c r="S74" t="s">
        <v>22</v>
      </c>
      <c r="T74" s="9">
        <v>43012</v>
      </c>
      <c r="U74" s="9">
        <v>43014</v>
      </c>
      <c r="V74" s="12">
        <v>194</v>
      </c>
      <c r="W74" s="12">
        <v>45</v>
      </c>
      <c r="X74" s="17">
        <v>0.25</v>
      </c>
      <c r="Y74">
        <v>37.25</v>
      </c>
      <c r="Z74" s="12">
        <v>82.25</v>
      </c>
      <c r="AA74" s="12">
        <v>13.132352941176471</v>
      </c>
      <c r="AB74" s="12">
        <v>66.75</v>
      </c>
      <c r="AF74" s="18">
        <f t="shared" si="1"/>
        <v>0</v>
      </c>
    </row>
    <row r="75" spans="1:32" customFormat="1" x14ac:dyDescent="0.25">
      <c r="A75" t="s">
        <v>31</v>
      </c>
      <c r="B75" t="s">
        <v>32</v>
      </c>
      <c r="C75" t="s">
        <v>270</v>
      </c>
      <c r="D75" s="9">
        <v>43013</v>
      </c>
      <c r="E75" s="9">
        <v>43019</v>
      </c>
      <c r="F75">
        <v>897</v>
      </c>
      <c r="H75">
        <v>25</v>
      </c>
      <c r="I75" t="s">
        <v>271</v>
      </c>
      <c r="J75">
        <v>40030</v>
      </c>
      <c r="K75" t="s">
        <v>31</v>
      </c>
      <c r="L75" t="s">
        <v>879</v>
      </c>
      <c r="M75" t="s">
        <v>880</v>
      </c>
      <c r="N75" t="s">
        <v>881</v>
      </c>
      <c r="O75" s="14">
        <v>50670</v>
      </c>
      <c r="P75" t="s">
        <v>882</v>
      </c>
      <c r="Q75" s="15" t="s">
        <v>849</v>
      </c>
      <c r="R75" s="15" t="s">
        <v>848</v>
      </c>
      <c r="S75" t="s">
        <v>270</v>
      </c>
      <c r="T75" s="9">
        <v>43013</v>
      </c>
      <c r="U75" s="9">
        <v>43019</v>
      </c>
      <c r="V75" s="12">
        <v>897</v>
      </c>
      <c r="W75" s="12">
        <v>25</v>
      </c>
      <c r="X75" s="17">
        <v>0.2</v>
      </c>
      <c r="Y75">
        <v>174.4</v>
      </c>
      <c r="Z75" s="12">
        <v>199.4</v>
      </c>
      <c r="AA75" s="12">
        <v>31.836974789915967</v>
      </c>
      <c r="AB75" s="12">
        <v>672.6</v>
      </c>
      <c r="AF75" s="18">
        <f t="shared" si="1"/>
        <v>0</v>
      </c>
    </row>
    <row r="76" spans="1:32" customFormat="1" x14ac:dyDescent="0.25">
      <c r="A76" t="s">
        <v>15</v>
      </c>
      <c r="B76" t="s">
        <v>47</v>
      </c>
      <c r="C76" t="s">
        <v>272</v>
      </c>
      <c r="D76" s="9">
        <v>43013</v>
      </c>
      <c r="E76" s="9">
        <v>43020</v>
      </c>
      <c r="F76">
        <v>934</v>
      </c>
      <c r="G76">
        <v>-1</v>
      </c>
      <c r="H76">
        <v>35</v>
      </c>
      <c r="I76" t="s">
        <v>273</v>
      </c>
      <c r="J76">
        <v>30017</v>
      </c>
      <c r="K76" t="s">
        <v>15</v>
      </c>
      <c r="L76" t="s">
        <v>864</v>
      </c>
      <c r="M76" t="s">
        <v>864</v>
      </c>
      <c r="N76" t="s">
        <v>865</v>
      </c>
      <c r="O76" s="14">
        <v>40227</v>
      </c>
      <c r="P76" t="s">
        <v>866</v>
      </c>
      <c r="Q76" s="15" t="s">
        <v>848</v>
      </c>
      <c r="R76" s="15" t="s">
        <v>849</v>
      </c>
      <c r="S76" t="s">
        <v>272</v>
      </c>
      <c r="T76" s="9">
        <v>43013</v>
      </c>
      <c r="U76" s="9">
        <v>43020</v>
      </c>
      <c r="V76" s="12">
        <v>934</v>
      </c>
      <c r="W76" s="12">
        <v>35</v>
      </c>
      <c r="X76" s="17">
        <v>0.25</v>
      </c>
      <c r="Y76">
        <v>224.75</v>
      </c>
      <c r="Z76" s="12">
        <v>259.75</v>
      </c>
      <c r="AA76" s="12">
        <v>41.47268907563025</v>
      </c>
      <c r="AB76" s="12">
        <v>639.25</v>
      </c>
      <c r="AF76" s="18">
        <f t="shared" si="1"/>
        <v>0</v>
      </c>
    </row>
    <row r="77" spans="1:32" customFormat="1" x14ac:dyDescent="0.25">
      <c r="A77" t="s">
        <v>18</v>
      </c>
      <c r="B77" t="s">
        <v>55</v>
      </c>
      <c r="C77" t="s">
        <v>274</v>
      </c>
      <c r="D77" s="9">
        <v>43013</v>
      </c>
      <c r="E77" s="9">
        <v>43015</v>
      </c>
      <c r="F77">
        <v>187</v>
      </c>
      <c r="H77">
        <v>50</v>
      </c>
      <c r="I77" t="s">
        <v>275</v>
      </c>
      <c r="J77">
        <v>60025</v>
      </c>
      <c r="K77" t="s">
        <v>18</v>
      </c>
      <c r="L77" t="s">
        <v>947</v>
      </c>
      <c r="M77" t="s">
        <v>947</v>
      </c>
      <c r="N77" t="s">
        <v>948</v>
      </c>
      <c r="O77" s="14">
        <v>10969</v>
      </c>
      <c r="P77" t="s">
        <v>949</v>
      </c>
      <c r="Q77" s="15" t="s">
        <v>848</v>
      </c>
      <c r="R77" s="15" t="s">
        <v>849</v>
      </c>
      <c r="S77" t="s">
        <v>274</v>
      </c>
      <c r="T77" s="9">
        <v>43013</v>
      </c>
      <c r="U77" s="9">
        <v>43015</v>
      </c>
      <c r="V77" s="12">
        <v>187</v>
      </c>
      <c r="W77" s="12">
        <v>50</v>
      </c>
      <c r="X77" s="17">
        <v>0.25</v>
      </c>
      <c r="Y77">
        <v>34.25</v>
      </c>
      <c r="Z77" s="12">
        <v>84.25</v>
      </c>
      <c r="AA77" s="12">
        <v>13.451680672268909</v>
      </c>
      <c r="AB77" s="12">
        <v>52.75</v>
      </c>
      <c r="AF77" s="18">
        <f t="shared" si="1"/>
        <v>0</v>
      </c>
    </row>
    <row r="78" spans="1:32" customFormat="1" x14ac:dyDescent="0.25">
      <c r="A78" t="s">
        <v>15</v>
      </c>
      <c r="B78" t="s">
        <v>116</v>
      </c>
      <c r="C78" t="s">
        <v>276</v>
      </c>
      <c r="D78" s="9">
        <v>43013</v>
      </c>
      <c r="E78" s="9">
        <v>43018</v>
      </c>
      <c r="F78">
        <v>730</v>
      </c>
      <c r="H78">
        <v>50</v>
      </c>
      <c r="I78" t="s">
        <v>277</v>
      </c>
      <c r="J78">
        <v>30026</v>
      </c>
      <c r="K78" t="s">
        <v>15</v>
      </c>
      <c r="L78" t="s">
        <v>116</v>
      </c>
      <c r="M78" t="s">
        <v>116</v>
      </c>
      <c r="N78" t="s">
        <v>860</v>
      </c>
      <c r="O78" s="14">
        <v>40235</v>
      </c>
      <c r="P78" t="s">
        <v>861</v>
      </c>
      <c r="Q78" s="15" t="s">
        <v>848</v>
      </c>
      <c r="R78" s="15" t="s">
        <v>849</v>
      </c>
      <c r="S78" t="s">
        <v>276</v>
      </c>
      <c r="T78" s="9">
        <v>43013</v>
      </c>
      <c r="U78" s="9">
        <v>43018</v>
      </c>
      <c r="V78" s="12">
        <v>730</v>
      </c>
      <c r="W78" s="12">
        <v>50</v>
      </c>
      <c r="X78" s="17">
        <v>0.25</v>
      </c>
      <c r="Y78">
        <v>170</v>
      </c>
      <c r="Z78" s="12">
        <v>220</v>
      </c>
      <c r="AA78" s="12">
        <v>35.12605042016807</v>
      </c>
      <c r="AB78" s="12">
        <v>460</v>
      </c>
      <c r="AF78" s="18">
        <f t="shared" si="1"/>
        <v>0</v>
      </c>
    </row>
    <row r="79" spans="1:32" customFormat="1" x14ac:dyDescent="0.25">
      <c r="A79" t="s">
        <v>9</v>
      </c>
      <c r="B79" t="s">
        <v>14</v>
      </c>
      <c r="C79" t="s">
        <v>278</v>
      </c>
      <c r="D79" s="9">
        <v>43013</v>
      </c>
      <c r="E79" s="9">
        <v>43020</v>
      </c>
      <c r="F79">
        <v>453</v>
      </c>
      <c r="H79">
        <v>35</v>
      </c>
      <c r="I79" t="s">
        <v>279</v>
      </c>
      <c r="J79">
        <v>20026</v>
      </c>
      <c r="K79" t="s">
        <v>9</v>
      </c>
      <c r="L79" t="s">
        <v>985</v>
      </c>
      <c r="M79" t="s">
        <v>986</v>
      </c>
      <c r="N79" t="s">
        <v>987</v>
      </c>
      <c r="O79" s="14">
        <v>61440</v>
      </c>
      <c r="P79" t="s">
        <v>988</v>
      </c>
      <c r="Q79" s="15" t="s">
        <v>848</v>
      </c>
      <c r="R79" s="15" t="s">
        <v>849</v>
      </c>
      <c r="S79" t="s">
        <v>278</v>
      </c>
      <c r="T79" s="9">
        <v>43013</v>
      </c>
      <c r="U79" s="9">
        <v>43020</v>
      </c>
      <c r="V79" s="12">
        <v>453</v>
      </c>
      <c r="W79" s="12">
        <v>35</v>
      </c>
      <c r="X79" s="17">
        <v>0.25</v>
      </c>
      <c r="Y79">
        <v>104.5</v>
      </c>
      <c r="Z79" s="12">
        <v>139.5</v>
      </c>
      <c r="AA79" s="12">
        <v>22.27310924369748</v>
      </c>
      <c r="AB79" s="12">
        <v>278.5</v>
      </c>
      <c r="AF79" s="18">
        <f t="shared" si="1"/>
        <v>0</v>
      </c>
    </row>
    <row r="80" spans="1:32" customFormat="1" x14ac:dyDescent="0.25">
      <c r="A80" t="s">
        <v>9</v>
      </c>
      <c r="B80" t="s">
        <v>28</v>
      </c>
      <c r="C80" t="s">
        <v>280</v>
      </c>
      <c r="D80" s="9">
        <v>43013</v>
      </c>
      <c r="E80" s="9">
        <v>43014</v>
      </c>
      <c r="F80">
        <v>105</v>
      </c>
      <c r="G80">
        <v>1</v>
      </c>
      <c r="H80">
        <v>30</v>
      </c>
      <c r="I80" t="s">
        <v>281</v>
      </c>
      <c r="J80">
        <v>20028</v>
      </c>
      <c r="K80" t="s">
        <v>9</v>
      </c>
      <c r="L80" t="s">
        <v>28</v>
      </c>
      <c r="M80" t="s">
        <v>28</v>
      </c>
      <c r="N80" t="s">
        <v>895</v>
      </c>
      <c r="O80" s="14">
        <v>60313</v>
      </c>
      <c r="P80" t="s">
        <v>896</v>
      </c>
      <c r="Q80" s="15" t="s">
        <v>848</v>
      </c>
      <c r="R80" s="15" t="s">
        <v>849</v>
      </c>
      <c r="S80" t="s">
        <v>280</v>
      </c>
      <c r="T80" s="9">
        <v>43013</v>
      </c>
      <c r="U80" s="9">
        <v>43014</v>
      </c>
      <c r="V80" s="12">
        <v>105</v>
      </c>
      <c r="W80" s="12">
        <v>30</v>
      </c>
      <c r="X80" s="17">
        <v>0.25</v>
      </c>
      <c r="Y80">
        <v>18.75</v>
      </c>
      <c r="Z80" s="12">
        <v>48.75</v>
      </c>
      <c r="AA80" s="12">
        <v>7.7836134453781511</v>
      </c>
      <c r="AB80" s="12">
        <v>26.25</v>
      </c>
      <c r="AF80" s="18">
        <f t="shared" si="1"/>
        <v>0</v>
      </c>
    </row>
    <row r="81" spans="1:32" customFormat="1" x14ac:dyDescent="0.25">
      <c r="A81" t="s">
        <v>18</v>
      </c>
      <c r="B81" t="s">
        <v>282</v>
      </c>
      <c r="C81" t="s">
        <v>283</v>
      </c>
      <c r="D81" s="9">
        <v>43013</v>
      </c>
      <c r="E81" s="9">
        <v>43016</v>
      </c>
      <c r="F81">
        <v>204</v>
      </c>
      <c r="G81">
        <v>1</v>
      </c>
      <c r="H81">
        <v>55</v>
      </c>
      <c r="I81" t="s">
        <v>284</v>
      </c>
      <c r="J81">
        <v>60029</v>
      </c>
      <c r="K81" t="s">
        <v>18</v>
      </c>
      <c r="L81" t="s">
        <v>989</v>
      </c>
      <c r="M81" t="s">
        <v>989</v>
      </c>
      <c r="N81" t="s">
        <v>990</v>
      </c>
      <c r="O81" s="14">
        <v>10247</v>
      </c>
      <c r="P81" t="s">
        <v>991</v>
      </c>
      <c r="Q81" s="15" t="s">
        <v>849</v>
      </c>
      <c r="R81" s="15" t="s">
        <v>848</v>
      </c>
      <c r="S81" t="s">
        <v>283</v>
      </c>
      <c r="T81" s="9">
        <v>43013</v>
      </c>
      <c r="U81" s="9">
        <v>43016</v>
      </c>
      <c r="V81" s="12">
        <v>204</v>
      </c>
      <c r="W81" s="12">
        <v>55</v>
      </c>
      <c r="X81" s="17">
        <v>0.25</v>
      </c>
      <c r="Y81">
        <v>37.25</v>
      </c>
      <c r="Z81" s="12">
        <v>92.25</v>
      </c>
      <c r="AA81" s="12">
        <v>14.728991596638656</v>
      </c>
      <c r="AB81" s="12">
        <v>56.75</v>
      </c>
      <c r="AF81" s="18">
        <f t="shared" si="1"/>
        <v>0</v>
      </c>
    </row>
    <row r="82" spans="1:32" customFormat="1" x14ac:dyDescent="0.25">
      <c r="A82" t="s">
        <v>11</v>
      </c>
      <c r="B82" t="s">
        <v>58</v>
      </c>
      <c r="C82" t="s">
        <v>285</v>
      </c>
      <c r="D82" s="9">
        <v>43013</v>
      </c>
      <c r="E82" s="9">
        <v>43015</v>
      </c>
      <c r="F82">
        <v>306</v>
      </c>
      <c r="H82">
        <v>50</v>
      </c>
      <c r="I82" t="s">
        <v>286</v>
      </c>
      <c r="J82">
        <v>10043</v>
      </c>
      <c r="K82" t="s">
        <v>11</v>
      </c>
      <c r="L82" t="s">
        <v>973</v>
      </c>
      <c r="M82" t="s">
        <v>973</v>
      </c>
      <c r="N82" t="s">
        <v>974</v>
      </c>
      <c r="O82" s="14">
        <v>80469</v>
      </c>
      <c r="P82" t="s">
        <v>975</v>
      </c>
      <c r="Q82" s="15" t="s">
        <v>849</v>
      </c>
      <c r="R82" s="15" t="s">
        <v>848</v>
      </c>
      <c r="S82" t="s">
        <v>285</v>
      </c>
      <c r="T82" s="9">
        <v>43013</v>
      </c>
      <c r="U82" s="9">
        <v>43015</v>
      </c>
      <c r="V82" s="12">
        <v>306</v>
      </c>
      <c r="W82" s="12">
        <v>50</v>
      </c>
      <c r="X82" s="17">
        <v>0.2</v>
      </c>
      <c r="Y82">
        <v>51.2</v>
      </c>
      <c r="Z82" s="12">
        <v>101.2</v>
      </c>
      <c r="AA82" s="12">
        <v>16.15798319327731</v>
      </c>
      <c r="AB82" s="12">
        <v>154.80000000000001</v>
      </c>
      <c r="AF82" s="18">
        <f t="shared" si="1"/>
        <v>0</v>
      </c>
    </row>
    <row r="83" spans="1:32" customFormat="1" x14ac:dyDescent="0.25">
      <c r="A83" t="s">
        <v>38</v>
      </c>
      <c r="B83" t="s">
        <v>39</v>
      </c>
      <c r="C83" t="s">
        <v>287</v>
      </c>
      <c r="D83" s="9">
        <v>43014</v>
      </c>
      <c r="E83" s="9">
        <v>43019</v>
      </c>
      <c r="F83">
        <v>1091</v>
      </c>
      <c r="H83">
        <v>30</v>
      </c>
      <c r="I83" t="s">
        <v>288</v>
      </c>
      <c r="J83">
        <v>40010</v>
      </c>
      <c r="K83" t="s">
        <v>38</v>
      </c>
      <c r="L83" t="s">
        <v>879</v>
      </c>
      <c r="M83" t="s">
        <v>880</v>
      </c>
      <c r="N83" t="s">
        <v>881</v>
      </c>
      <c r="O83" s="14">
        <v>50670</v>
      </c>
      <c r="P83" t="s">
        <v>882</v>
      </c>
      <c r="Q83" s="15" t="s">
        <v>849</v>
      </c>
      <c r="R83" s="15" t="s">
        <v>848</v>
      </c>
      <c r="S83" t="s">
        <v>287</v>
      </c>
      <c r="T83" s="9">
        <v>43014</v>
      </c>
      <c r="U83" s="9">
        <v>43019</v>
      </c>
      <c r="V83" s="12">
        <v>1091</v>
      </c>
      <c r="W83" s="12">
        <v>30</v>
      </c>
      <c r="X83" s="17">
        <v>0.2</v>
      </c>
      <c r="Y83">
        <v>212.20000000000002</v>
      </c>
      <c r="Z83" s="12">
        <v>242.20000000000002</v>
      </c>
      <c r="AA83" s="12">
        <v>38.670588235294126</v>
      </c>
      <c r="AB83" s="12">
        <v>818.8</v>
      </c>
      <c r="AF83" s="18">
        <f t="shared" si="1"/>
        <v>0</v>
      </c>
    </row>
    <row r="84" spans="1:32" customFormat="1" x14ac:dyDescent="0.25">
      <c r="A84" t="s">
        <v>38</v>
      </c>
      <c r="B84" t="s">
        <v>71</v>
      </c>
      <c r="C84" t="s">
        <v>289</v>
      </c>
      <c r="D84" s="9">
        <v>43014</v>
      </c>
      <c r="E84" s="9">
        <v>43019</v>
      </c>
      <c r="F84">
        <v>897</v>
      </c>
      <c r="H84">
        <v>35</v>
      </c>
      <c r="I84" t="s">
        <v>290</v>
      </c>
      <c r="J84">
        <v>40018</v>
      </c>
      <c r="K84" t="s">
        <v>38</v>
      </c>
      <c r="L84" t="s">
        <v>71</v>
      </c>
      <c r="M84" t="s">
        <v>71</v>
      </c>
      <c r="N84" t="s">
        <v>992</v>
      </c>
      <c r="O84" s="14" t="s">
        <v>884</v>
      </c>
      <c r="P84" t="s">
        <v>993</v>
      </c>
      <c r="Q84" s="15" t="s">
        <v>848</v>
      </c>
      <c r="R84" s="15" t="s">
        <v>849</v>
      </c>
      <c r="S84" t="s">
        <v>289</v>
      </c>
      <c r="T84" s="9">
        <v>43014</v>
      </c>
      <c r="U84" s="9">
        <v>43019</v>
      </c>
      <c r="V84" s="12">
        <v>897</v>
      </c>
      <c r="W84" s="12">
        <v>35</v>
      </c>
      <c r="X84" s="17">
        <v>0.25</v>
      </c>
      <c r="Y84">
        <v>215.5</v>
      </c>
      <c r="Z84" s="12">
        <v>250.5</v>
      </c>
      <c r="AA84" s="12">
        <v>39.995798319327733</v>
      </c>
      <c r="AB84" s="12">
        <v>611.5</v>
      </c>
      <c r="AF84" s="18">
        <f t="shared" si="1"/>
        <v>0</v>
      </c>
    </row>
    <row r="85" spans="1:32" customFormat="1" x14ac:dyDescent="0.25">
      <c r="A85" t="s">
        <v>38</v>
      </c>
      <c r="B85" t="s">
        <v>291</v>
      </c>
      <c r="C85" t="s">
        <v>292</v>
      </c>
      <c r="D85" s="9">
        <v>43014</v>
      </c>
      <c r="E85" s="9">
        <v>43020</v>
      </c>
      <c r="F85">
        <v>1374</v>
      </c>
      <c r="H85">
        <v>40</v>
      </c>
      <c r="I85" t="s">
        <v>293</v>
      </c>
      <c r="J85">
        <v>40009</v>
      </c>
      <c r="K85" t="s">
        <v>38</v>
      </c>
      <c r="L85" t="s">
        <v>291</v>
      </c>
      <c r="M85" t="s">
        <v>291</v>
      </c>
      <c r="N85" t="s">
        <v>994</v>
      </c>
      <c r="O85" s="14">
        <v>50667</v>
      </c>
      <c r="P85" t="s">
        <v>995</v>
      </c>
      <c r="Q85" s="15" t="s">
        <v>848</v>
      </c>
      <c r="R85" s="15" t="s">
        <v>849</v>
      </c>
      <c r="S85" t="s">
        <v>292</v>
      </c>
      <c r="T85" s="9">
        <v>43014</v>
      </c>
      <c r="U85" s="9">
        <v>43020</v>
      </c>
      <c r="V85" s="12">
        <v>1374</v>
      </c>
      <c r="W85" s="12">
        <v>40</v>
      </c>
      <c r="X85" s="17">
        <v>0.25</v>
      </c>
      <c r="Y85">
        <v>333.5</v>
      </c>
      <c r="Z85" s="12">
        <v>373.5</v>
      </c>
      <c r="AA85" s="12">
        <v>59.634453781512605</v>
      </c>
      <c r="AB85" s="12">
        <v>960.5</v>
      </c>
      <c r="AF85" s="18">
        <f t="shared" si="1"/>
        <v>0</v>
      </c>
    </row>
    <row r="86" spans="1:32" customFormat="1" x14ac:dyDescent="0.25">
      <c r="A86" t="s">
        <v>38</v>
      </c>
      <c r="B86" t="s">
        <v>131</v>
      </c>
      <c r="C86" t="s">
        <v>294</v>
      </c>
      <c r="D86" s="9">
        <v>43014</v>
      </c>
      <c r="E86" s="9">
        <v>43019</v>
      </c>
      <c r="F86">
        <v>1218</v>
      </c>
      <c r="G86" t="s">
        <v>295</v>
      </c>
      <c r="H86">
        <v>40</v>
      </c>
      <c r="I86" t="s">
        <v>296</v>
      </c>
      <c r="J86">
        <v>40025</v>
      </c>
      <c r="K86" t="s">
        <v>38</v>
      </c>
      <c r="L86" t="s">
        <v>131</v>
      </c>
      <c r="M86" t="s">
        <v>131</v>
      </c>
      <c r="N86" t="s">
        <v>874</v>
      </c>
      <c r="O86" s="14" t="s">
        <v>875</v>
      </c>
      <c r="P86" t="s">
        <v>876</v>
      </c>
      <c r="Q86" s="15" t="s">
        <v>848</v>
      </c>
      <c r="R86" s="15" t="s">
        <v>849</v>
      </c>
      <c r="S86" t="s">
        <v>294</v>
      </c>
      <c r="T86" s="9">
        <v>43014</v>
      </c>
      <c r="U86" s="9">
        <v>43019</v>
      </c>
      <c r="V86" s="12">
        <v>1218</v>
      </c>
      <c r="W86" s="12">
        <v>40</v>
      </c>
      <c r="X86" s="17">
        <v>0.25</v>
      </c>
      <c r="Y86">
        <v>294.5</v>
      </c>
      <c r="Z86" s="12">
        <v>334.5</v>
      </c>
      <c r="AA86" s="12">
        <v>53.407563025210081</v>
      </c>
      <c r="AB86" s="12">
        <v>843.5</v>
      </c>
      <c r="AF86" s="18">
        <f t="shared" si="1"/>
        <v>0</v>
      </c>
    </row>
    <row r="87" spans="1:32" customFormat="1" x14ac:dyDescent="0.25">
      <c r="A87" t="s">
        <v>15</v>
      </c>
      <c r="B87" t="s">
        <v>25</v>
      </c>
      <c r="C87" t="s">
        <v>297</v>
      </c>
      <c r="D87" s="9">
        <v>43014</v>
      </c>
      <c r="E87" s="9">
        <v>43016</v>
      </c>
      <c r="F87">
        <v>316</v>
      </c>
      <c r="G87">
        <v>1</v>
      </c>
      <c r="H87">
        <v>45</v>
      </c>
      <c r="I87" t="s">
        <v>298</v>
      </c>
      <c r="J87">
        <v>30023</v>
      </c>
      <c r="K87" t="s">
        <v>15</v>
      </c>
      <c r="L87" t="s">
        <v>892</v>
      </c>
      <c r="M87" t="s">
        <v>892</v>
      </c>
      <c r="N87" t="s">
        <v>893</v>
      </c>
      <c r="O87" s="14">
        <v>40225</v>
      </c>
      <c r="P87" t="s">
        <v>894</v>
      </c>
      <c r="Q87" s="15" t="s">
        <v>848</v>
      </c>
      <c r="R87" s="15" t="s">
        <v>849</v>
      </c>
      <c r="S87" t="s">
        <v>297</v>
      </c>
      <c r="T87" s="9">
        <v>43014</v>
      </c>
      <c r="U87" s="9">
        <v>43016</v>
      </c>
      <c r="V87" s="12">
        <v>316</v>
      </c>
      <c r="W87" s="12">
        <v>45</v>
      </c>
      <c r="X87" s="17">
        <v>0.2</v>
      </c>
      <c r="Y87">
        <v>54.2</v>
      </c>
      <c r="Z87" s="12">
        <v>99.2</v>
      </c>
      <c r="AA87" s="12">
        <v>15.838655462184875</v>
      </c>
      <c r="AB87" s="12">
        <v>171.8</v>
      </c>
      <c r="AF87" s="18">
        <f t="shared" si="1"/>
        <v>0</v>
      </c>
    </row>
    <row r="88" spans="1:32" customFormat="1" x14ac:dyDescent="0.25">
      <c r="A88" t="s">
        <v>11</v>
      </c>
      <c r="B88" t="s">
        <v>27</v>
      </c>
      <c r="C88" t="s">
        <v>299</v>
      </c>
      <c r="D88" s="9">
        <v>43014</v>
      </c>
      <c r="E88" s="9">
        <v>43017</v>
      </c>
      <c r="F88">
        <v>438</v>
      </c>
      <c r="G88" t="s">
        <v>300</v>
      </c>
      <c r="H88">
        <v>60</v>
      </c>
      <c r="I88" t="s">
        <v>301</v>
      </c>
      <c r="J88">
        <v>10093</v>
      </c>
      <c r="K88" t="s">
        <v>11</v>
      </c>
      <c r="L88" t="s">
        <v>27</v>
      </c>
      <c r="M88" t="s">
        <v>970</v>
      </c>
      <c r="N88" t="s">
        <v>971</v>
      </c>
      <c r="O88" s="14">
        <v>80469</v>
      </c>
      <c r="P88" t="s">
        <v>972</v>
      </c>
      <c r="Q88" s="15" t="s">
        <v>848</v>
      </c>
      <c r="R88" s="15" t="s">
        <v>849</v>
      </c>
      <c r="S88" t="s">
        <v>299</v>
      </c>
      <c r="T88" s="9">
        <v>43014</v>
      </c>
      <c r="U88" s="9">
        <v>43017</v>
      </c>
      <c r="V88" s="12">
        <v>438</v>
      </c>
      <c r="W88" s="12">
        <v>60</v>
      </c>
      <c r="X88" s="17">
        <v>0.25</v>
      </c>
      <c r="Y88">
        <v>94.5</v>
      </c>
      <c r="Z88" s="12">
        <v>154.5</v>
      </c>
      <c r="AA88" s="12">
        <v>24.668067226890756</v>
      </c>
      <c r="AB88" s="12">
        <v>223.5</v>
      </c>
      <c r="AF88" s="18">
        <f t="shared" si="1"/>
        <v>0</v>
      </c>
    </row>
    <row r="89" spans="1:32" customFormat="1" x14ac:dyDescent="0.25">
      <c r="A89" t="s">
        <v>9</v>
      </c>
      <c r="B89" t="s">
        <v>28</v>
      </c>
      <c r="C89" t="s">
        <v>302</v>
      </c>
      <c r="D89" s="9">
        <v>43014</v>
      </c>
      <c r="E89" s="9">
        <v>43017</v>
      </c>
      <c r="F89">
        <v>193</v>
      </c>
      <c r="H89">
        <v>30</v>
      </c>
      <c r="I89" t="s">
        <v>303</v>
      </c>
      <c r="J89">
        <v>20028</v>
      </c>
      <c r="K89" t="s">
        <v>9</v>
      </c>
      <c r="L89" t="s">
        <v>28</v>
      </c>
      <c r="M89" t="s">
        <v>28</v>
      </c>
      <c r="N89" t="s">
        <v>895</v>
      </c>
      <c r="O89" s="14">
        <v>60313</v>
      </c>
      <c r="P89" t="s">
        <v>896</v>
      </c>
      <c r="Q89" s="15" t="s">
        <v>848</v>
      </c>
      <c r="R89" s="15" t="s">
        <v>849</v>
      </c>
      <c r="S89" t="s">
        <v>302</v>
      </c>
      <c r="T89" s="9">
        <v>43014</v>
      </c>
      <c r="U89" s="9">
        <v>43017</v>
      </c>
      <c r="V89" s="12">
        <v>193</v>
      </c>
      <c r="W89" s="12">
        <v>30</v>
      </c>
      <c r="X89" s="17">
        <v>0.25</v>
      </c>
      <c r="Y89">
        <v>40.75</v>
      </c>
      <c r="Z89" s="12">
        <v>70.75</v>
      </c>
      <c r="AA89" s="12">
        <v>11.296218487394958</v>
      </c>
      <c r="AB89" s="12">
        <v>92.25</v>
      </c>
      <c r="AF89" s="18">
        <f t="shared" si="1"/>
        <v>0</v>
      </c>
    </row>
    <row r="90" spans="1:32" customFormat="1" x14ac:dyDescent="0.25">
      <c r="A90" t="s">
        <v>38</v>
      </c>
      <c r="B90" t="s">
        <v>70</v>
      </c>
      <c r="C90" t="s">
        <v>304</v>
      </c>
      <c r="D90" s="9">
        <v>43014</v>
      </c>
      <c r="E90" s="9">
        <v>43017</v>
      </c>
      <c r="F90">
        <v>634</v>
      </c>
      <c r="H90">
        <v>35</v>
      </c>
      <c r="I90" t="s">
        <v>305</v>
      </c>
      <c r="J90">
        <v>40027</v>
      </c>
      <c r="K90" t="s">
        <v>38</v>
      </c>
      <c r="L90" t="s">
        <v>70</v>
      </c>
      <c r="M90" t="s">
        <v>70</v>
      </c>
      <c r="N90" t="s">
        <v>883</v>
      </c>
      <c r="O90" s="14" t="s">
        <v>884</v>
      </c>
      <c r="P90" t="s">
        <v>885</v>
      </c>
      <c r="Q90" s="15" t="s">
        <v>848</v>
      </c>
      <c r="R90" s="15" t="s">
        <v>849</v>
      </c>
      <c r="S90" t="s">
        <v>304</v>
      </c>
      <c r="T90" s="9">
        <v>43014</v>
      </c>
      <c r="U90" s="9">
        <v>43017</v>
      </c>
      <c r="V90" s="12">
        <v>634</v>
      </c>
      <c r="W90" s="12">
        <v>35</v>
      </c>
      <c r="X90" s="17">
        <v>0.25</v>
      </c>
      <c r="Y90">
        <v>149.75</v>
      </c>
      <c r="Z90" s="12">
        <v>184.75</v>
      </c>
      <c r="AA90" s="12">
        <v>29.497899159663866</v>
      </c>
      <c r="AB90" s="12">
        <v>414.25</v>
      </c>
      <c r="AF90" s="18">
        <f t="shared" si="1"/>
        <v>0</v>
      </c>
    </row>
    <row r="91" spans="1:32" customFormat="1" x14ac:dyDescent="0.25">
      <c r="A91" t="s">
        <v>18</v>
      </c>
      <c r="B91" t="s">
        <v>49</v>
      </c>
      <c r="C91" t="s">
        <v>306</v>
      </c>
      <c r="D91" s="9">
        <v>43014</v>
      </c>
      <c r="E91" s="9">
        <v>43016</v>
      </c>
      <c r="F91">
        <v>324</v>
      </c>
      <c r="H91">
        <v>50</v>
      </c>
      <c r="I91" t="s">
        <v>307</v>
      </c>
      <c r="J91">
        <v>60003</v>
      </c>
      <c r="K91" t="s">
        <v>18</v>
      </c>
      <c r="L91" t="s">
        <v>996</v>
      </c>
      <c r="M91" t="s">
        <v>996</v>
      </c>
      <c r="N91" t="s">
        <v>997</v>
      </c>
      <c r="O91" s="14">
        <v>10115</v>
      </c>
      <c r="P91" t="s">
        <v>998</v>
      </c>
      <c r="Q91" s="15" t="s">
        <v>848</v>
      </c>
      <c r="R91" s="15" t="s">
        <v>849</v>
      </c>
      <c r="S91" t="s">
        <v>306</v>
      </c>
      <c r="T91" s="9">
        <v>43014</v>
      </c>
      <c r="U91" s="9">
        <v>43016</v>
      </c>
      <c r="V91" s="12">
        <v>324</v>
      </c>
      <c r="W91" s="12">
        <v>50</v>
      </c>
      <c r="X91" s="17">
        <v>0.25</v>
      </c>
      <c r="Y91">
        <v>68.5</v>
      </c>
      <c r="Z91" s="12">
        <v>118.5</v>
      </c>
      <c r="AA91" s="12">
        <v>18.920168067226889</v>
      </c>
      <c r="AB91" s="12">
        <v>155.5</v>
      </c>
      <c r="AF91" s="18">
        <f t="shared" si="1"/>
        <v>0</v>
      </c>
    </row>
    <row r="92" spans="1:32" customFormat="1" x14ac:dyDescent="0.25">
      <c r="A92" t="s">
        <v>38</v>
      </c>
      <c r="B92" t="s">
        <v>72</v>
      </c>
      <c r="C92" t="s">
        <v>308</v>
      </c>
      <c r="D92" s="9">
        <v>43014</v>
      </c>
      <c r="E92" s="9">
        <v>43017</v>
      </c>
      <c r="F92">
        <v>515</v>
      </c>
      <c r="G92">
        <v>1</v>
      </c>
      <c r="H92">
        <v>30</v>
      </c>
      <c r="I92" t="s">
        <v>309</v>
      </c>
      <c r="J92">
        <v>40013</v>
      </c>
      <c r="K92" t="s">
        <v>38</v>
      </c>
      <c r="L92" t="s">
        <v>999</v>
      </c>
      <c r="M92" t="s">
        <v>999</v>
      </c>
      <c r="N92" t="s">
        <v>1000</v>
      </c>
      <c r="O92" s="14">
        <v>50825</v>
      </c>
      <c r="P92" t="s">
        <v>1001</v>
      </c>
      <c r="Q92" s="15" t="s">
        <v>848</v>
      </c>
      <c r="R92" s="15" t="s">
        <v>849</v>
      </c>
      <c r="S92" t="s">
        <v>308</v>
      </c>
      <c r="T92" s="9">
        <v>43014</v>
      </c>
      <c r="U92" s="9">
        <v>43017</v>
      </c>
      <c r="V92" s="12">
        <v>515</v>
      </c>
      <c r="W92" s="12">
        <v>30</v>
      </c>
      <c r="X92" s="17">
        <v>0.25</v>
      </c>
      <c r="Y92">
        <v>121.25</v>
      </c>
      <c r="Z92" s="12">
        <v>151.25</v>
      </c>
      <c r="AA92" s="12">
        <v>24.149159663865547</v>
      </c>
      <c r="AB92" s="12">
        <v>333.75</v>
      </c>
      <c r="AF92" s="18">
        <f t="shared" si="1"/>
        <v>0</v>
      </c>
    </row>
    <row r="93" spans="1:32" customFormat="1" x14ac:dyDescent="0.25">
      <c r="A93" t="s">
        <v>38</v>
      </c>
      <c r="B93" t="s">
        <v>310</v>
      </c>
      <c r="C93" t="s">
        <v>311</v>
      </c>
      <c r="D93" s="9">
        <v>43014</v>
      </c>
      <c r="E93" s="9">
        <v>43018</v>
      </c>
      <c r="F93">
        <v>738</v>
      </c>
      <c r="H93">
        <v>60</v>
      </c>
      <c r="I93" t="s">
        <v>312</v>
      </c>
      <c r="J93">
        <v>40031</v>
      </c>
      <c r="K93" t="s">
        <v>38</v>
      </c>
      <c r="L93" t="s">
        <v>1002</v>
      </c>
      <c r="M93" t="s">
        <v>1002</v>
      </c>
      <c r="N93" t="s">
        <v>1003</v>
      </c>
      <c r="O93" s="14" t="s">
        <v>1004</v>
      </c>
      <c r="P93" t="s">
        <v>1005</v>
      </c>
      <c r="Q93" s="15" t="s">
        <v>848</v>
      </c>
      <c r="R93" s="15" t="s">
        <v>849</v>
      </c>
      <c r="S93" t="s">
        <v>311</v>
      </c>
      <c r="T93" s="9">
        <v>43014</v>
      </c>
      <c r="U93" s="9">
        <v>43018</v>
      </c>
      <c r="V93" s="12">
        <v>738</v>
      </c>
      <c r="W93" s="12">
        <v>60</v>
      </c>
      <c r="X93" s="17">
        <v>0.25</v>
      </c>
      <c r="Y93">
        <v>169.5</v>
      </c>
      <c r="Z93" s="12">
        <v>229.5</v>
      </c>
      <c r="AA93" s="12">
        <v>36.642857142857146</v>
      </c>
      <c r="AB93" s="12">
        <v>448.5</v>
      </c>
      <c r="AF93" s="18">
        <f t="shared" si="1"/>
        <v>0</v>
      </c>
    </row>
    <row r="94" spans="1:32" customFormat="1" x14ac:dyDescent="0.25">
      <c r="A94" t="s">
        <v>12</v>
      </c>
      <c r="B94" t="s">
        <v>33</v>
      </c>
      <c r="C94" t="s">
        <v>313</v>
      </c>
      <c r="D94" s="9">
        <v>43014</v>
      </c>
      <c r="E94" s="9">
        <v>43016</v>
      </c>
      <c r="F94">
        <v>180</v>
      </c>
      <c r="G94">
        <v>1</v>
      </c>
      <c r="H94">
        <v>30</v>
      </c>
      <c r="I94" t="s">
        <v>314</v>
      </c>
      <c r="J94">
        <v>50005</v>
      </c>
      <c r="K94" t="s">
        <v>12</v>
      </c>
      <c r="L94" t="s">
        <v>33</v>
      </c>
      <c r="M94" t="s">
        <v>33</v>
      </c>
      <c r="N94" t="s">
        <v>862</v>
      </c>
      <c r="O94" s="14">
        <v>20359</v>
      </c>
      <c r="P94" t="s">
        <v>863</v>
      </c>
      <c r="Q94" s="15" t="s">
        <v>848</v>
      </c>
      <c r="R94" s="15" t="s">
        <v>849</v>
      </c>
      <c r="S94" t="s">
        <v>313</v>
      </c>
      <c r="T94" s="9">
        <v>43014</v>
      </c>
      <c r="U94" s="9">
        <v>43016</v>
      </c>
      <c r="V94" s="12">
        <v>180</v>
      </c>
      <c r="W94" s="12">
        <v>30</v>
      </c>
      <c r="X94" s="17">
        <v>0.25</v>
      </c>
      <c r="Y94">
        <v>37.5</v>
      </c>
      <c r="Z94" s="12">
        <v>67.5</v>
      </c>
      <c r="AA94" s="12">
        <v>10.777310924369747</v>
      </c>
      <c r="AB94" s="12">
        <v>82.5</v>
      </c>
      <c r="AF94" s="18">
        <f t="shared" si="1"/>
        <v>0</v>
      </c>
    </row>
    <row r="95" spans="1:32" customFormat="1" x14ac:dyDescent="0.25">
      <c r="A95" t="s">
        <v>18</v>
      </c>
      <c r="B95" t="s">
        <v>214</v>
      </c>
      <c r="C95" t="s">
        <v>315</v>
      </c>
      <c r="D95" s="9">
        <v>43014</v>
      </c>
      <c r="E95" s="9">
        <v>43017</v>
      </c>
      <c r="F95">
        <v>213</v>
      </c>
      <c r="H95">
        <v>35</v>
      </c>
      <c r="I95" t="s">
        <v>316</v>
      </c>
      <c r="J95">
        <v>60030</v>
      </c>
      <c r="K95" t="s">
        <v>18</v>
      </c>
      <c r="L95" t="s">
        <v>214</v>
      </c>
      <c r="M95" t="s">
        <v>214</v>
      </c>
      <c r="N95" t="s">
        <v>962</v>
      </c>
      <c r="O95" s="14">
        <v>10439</v>
      </c>
      <c r="P95" t="s">
        <v>963</v>
      </c>
      <c r="Q95" s="15" t="s">
        <v>848</v>
      </c>
      <c r="R95" s="15" t="s">
        <v>849</v>
      </c>
      <c r="S95" t="s">
        <v>315</v>
      </c>
      <c r="T95" s="9">
        <v>43014</v>
      </c>
      <c r="U95" s="9">
        <v>43017</v>
      </c>
      <c r="V95" s="12">
        <v>213</v>
      </c>
      <c r="W95" s="12">
        <v>35</v>
      </c>
      <c r="X95" s="17">
        <v>0.25</v>
      </c>
      <c r="Y95">
        <v>44.5</v>
      </c>
      <c r="Z95" s="12">
        <v>79.5</v>
      </c>
      <c r="AA95" s="12">
        <v>12.693277310924369</v>
      </c>
      <c r="AB95" s="12">
        <v>98.5</v>
      </c>
      <c r="AF95" s="18">
        <f t="shared" si="1"/>
        <v>0</v>
      </c>
    </row>
    <row r="96" spans="1:32" customFormat="1" x14ac:dyDescent="0.25">
      <c r="A96" t="s">
        <v>18</v>
      </c>
      <c r="B96" t="s">
        <v>317</v>
      </c>
      <c r="C96" t="s">
        <v>318</v>
      </c>
      <c r="D96" s="9">
        <v>43014</v>
      </c>
      <c r="E96" s="9">
        <v>43017</v>
      </c>
      <c r="F96">
        <v>298</v>
      </c>
      <c r="H96">
        <v>45</v>
      </c>
      <c r="I96" t="s">
        <v>319</v>
      </c>
      <c r="J96">
        <v>60034</v>
      </c>
      <c r="K96" t="s">
        <v>18</v>
      </c>
      <c r="L96" t="s">
        <v>317</v>
      </c>
      <c r="M96" t="s">
        <v>317</v>
      </c>
      <c r="N96" t="s">
        <v>1006</v>
      </c>
      <c r="O96" s="14">
        <v>10119</v>
      </c>
      <c r="P96" t="s">
        <v>1007</v>
      </c>
      <c r="Q96" s="15" t="s">
        <v>848</v>
      </c>
      <c r="R96" s="15" t="s">
        <v>849</v>
      </c>
      <c r="S96" t="s">
        <v>318</v>
      </c>
      <c r="T96" s="9">
        <v>43014</v>
      </c>
      <c r="U96" s="9">
        <v>43017</v>
      </c>
      <c r="V96" s="12">
        <v>298</v>
      </c>
      <c r="W96" s="12">
        <v>45</v>
      </c>
      <c r="X96" s="17">
        <v>0.25</v>
      </c>
      <c r="Y96">
        <v>63.25</v>
      </c>
      <c r="Z96" s="12">
        <v>108.25</v>
      </c>
      <c r="AA96" s="12">
        <v>17.283613445378151</v>
      </c>
      <c r="AB96" s="12">
        <v>144.75</v>
      </c>
      <c r="AF96" s="18">
        <f t="shared" si="1"/>
        <v>0</v>
      </c>
    </row>
    <row r="97" spans="1:32" customFormat="1" x14ac:dyDescent="0.25">
      <c r="A97" t="s">
        <v>15</v>
      </c>
      <c r="B97" t="s">
        <v>21</v>
      </c>
      <c r="C97" t="s">
        <v>320</v>
      </c>
      <c r="D97" s="9">
        <v>43014</v>
      </c>
      <c r="E97" s="9">
        <v>43019</v>
      </c>
      <c r="F97">
        <v>1044</v>
      </c>
      <c r="G97">
        <v>1</v>
      </c>
      <c r="H97">
        <v>60</v>
      </c>
      <c r="I97" t="s">
        <v>321</v>
      </c>
      <c r="J97">
        <v>30009</v>
      </c>
      <c r="K97" t="s">
        <v>15</v>
      </c>
      <c r="L97" t="s">
        <v>1008</v>
      </c>
      <c r="M97" t="s">
        <v>1008</v>
      </c>
      <c r="N97" t="s">
        <v>1009</v>
      </c>
      <c r="O97" s="14">
        <v>40474</v>
      </c>
      <c r="P97" t="s">
        <v>1010</v>
      </c>
      <c r="Q97" s="15" t="s">
        <v>848</v>
      </c>
      <c r="R97" s="15" t="s">
        <v>849</v>
      </c>
      <c r="S97" t="s">
        <v>320</v>
      </c>
      <c r="T97" s="9">
        <v>43014</v>
      </c>
      <c r="U97" s="9">
        <v>43019</v>
      </c>
      <c r="V97" s="12">
        <v>1044</v>
      </c>
      <c r="W97" s="12">
        <v>60</v>
      </c>
      <c r="X97" s="17">
        <v>0.25</v>
      </c>
      <c r="Y97">
        <v>246</v>
      </c>
      <c r="Z97" s="12">
        <v>306</v>
      </c>
      <c r="AA97" s="12">
        <v>48.857142857142861</v>
      </c>
      <c r="AB97" s="12">
        <v>678</v>
      </c>
      <c r="AF97" s="18">
        <f t="shared" si="1"/>
        <v>0</v>
      </c>
    </row>
    <row r="98" spans="1:32" customFormat="1" x14ac:dyDescent="0.25">
      <c r="A98" t="s">
        <v>11</v>
      </c>
      <c r="B98" t="s">
        <v>322</v>
      </c>
      <c r="C98" t="s">
        <v>323</v>
      </c>
      <c r="D98" s="9">
        <v>43014</v>
      </c>
      <c r="E98" s="9">
        <v>43021</v>
      </c>
      <c r="F98">
        <v>820</v>
      </c>
      <c r="H98">
        <v>50</v>
      </c>
      <c r="I98" t="s">
        <v>324</v>
      </c>
      <c r="J98">
        <v>10106</v>
      </c>
      <c r="K98" t="s">
        <v>11</v>
      </c>
      <c r="L98" t="s">
        <v>322</v>
      </c>
      <c r="M98" t="s">
        <v>322</v>
      </c>
      <c r="N98" t="s">
        <v>1011</v>
      </c>
      <c r="O98" s="14">
        <v>80803</v>
      </c>
      <c r="P98" t="s">
        <v>1012</v>
      </c>
      <c r="Q98" s="15" t="s">
        <v>848</v>
      </c>
      <c r="R98" s="15" t="s">
        <v>849</v>
      </c>
      <c r="S98" t="s">
        <v>323</v>
      </c>
      <c r="T98" s="9">
        <v>43014</v>
      </c>
      <c r="U98" s="9">
        <v>43021</v>
      </c>
      <c r="V98" s="12">
        <v>820</v>
      </c>
      <c r="W98" s="12">
        <v>50</v>
      </c>
      <c r="X98" s="17">
        <v>0.25</v>
      </c>
      <c r="Y98">
        <v>192.5</v>
      </c>
      <c r="Z98" s="12">
        <v>242.5</v>
      </c>
      <c r="AA98" s="12">
        <v>38.718487394957982</v>
      </c>
      <c r="AB98" s="12">
        <v>527.5</v>
      </c>
      <c r="AF98" s="18">
        <f t="shared" si="1"/>
        <v>0</v>
      </c>
    </row>
    <row r="99" spans="1:32" customFormat="1" x14ac:dyDescent="0.25">
      <c r="A99" t="s">
        <v>15</v>
      </c>
      <c r="B99" t="s">
        <v>325</v>
      </c>
      <c r="C99" t="s">
        <v>326</v>
      </c>
      <c r="D99" s="9">
        <v>43014</v>
      </c>
      <c r="E99" s="9">
        <v>43019</v>
      </c>
      <c r="F99">
        <v>598</v>
      </c>
      <c r="G99">
        <v>-1</v>
      </c>
      <c r="H99">
        <v>50</v>
      </c>
      <c r="I99" t="s">
        <v>327</v>
      </c>
      <c r="J99">
        <v>30028</v>
      </c>
      <c r="K99" t="s">
        <v>15</v>
      </c>
      <c r="L99" t="s">
        <v>1013</v>
      </c>
      <c r="M99" t="s">
        <v>1013</v>
      </c>
      <c r="N99" t="s">
        <v>1014</v>
      </c>
      <c r="O99" s="14">
        <v>82340</v>
      </c>
      <c r="P99" t="s">
        <v>1015</v>
      </c>
      <c r="Q99" s="15" t="s">
        <v>848</v>
      </c>
      <c r="R99" s="15" t="s">
        <v>849</v>
      </c>
      <c r="S99" t="s">
        <v>326</v>
      </c>
      <c r="T99" s="9">
        <v>43014</v>
      </c>
      <c r="U99" s="9">
        <v>43019</v>
      </c>
      <c r="V99" s="12">
        <v>598</v>
      </c>
      <c r="W99" s="12">
        <v>50</v>
      </c>
      <c r="X99" s="17">
        <v>0.25</v>
      </c>
      <c r="Y99">
        <v>137</v>
      </c>
      <c r="Z99" s="12">
        <v>187</v>
      </c>
      <c r="AA99" s="12">
        <v>29.857142857142858</v>
      </c>
      <c r="AB99" s="12">
        <v>361</v>
      </c>
      <c r="AF99" s="18">
        <f t="shared" si="1"/>
        <v>0</v>
      </c>
    </row>
    <row r="100" spans="1:32" customFormat="1" x14ac:dyDescent="0.25">
      <c r="A100" t="s">
        <v>38</v>
      </c>
      <c r="B100" t="s">
        <v>53</v>
      </c>
      <c r="C100" t="s">
        <v>328</v>
      </c>
      <c r="D100" s="9">
        <v>43014</v>
      </c>
      <c r="E100" s="9">
        <v>43016</v>
      </c>
      <c r="F100">
        <v>324</v>
      </c>
      <c r="H100">
        <v>35</v>
      </c>
      <c r="I100" t="s">
        <v>329</v>
      </c>
      <c r="J100">
        <v>40023</v>
      </c>
      <c r="K100" t="s">
        <v>38</v>
      </c>
      <c r="L100" t="s">
        <v>1016</v>
      </c>
      <c r="M100" t="s">
        <v>1016</v>
      </c>
      <c r="N100" t="s">
        <v>1017</v>
      </c>
      <c r="O100" s="14" t="s">
        <v>1018</v>
      </c>
      <c r="P100" t="s">
        <v>1019</v>
      </c>
      <c r="Q100" s="15" t="s">
        <v>848</v>
      </c>
      <c r="R100" s="15" t="s">
        <v>849</v>
      </c>
      <c r="S100" t="s">
        <v>328</v>
      </c>
      <c r="T100" s="9">
        <v>43014</v>
      </c>
      <c r="U100" s="9">
        <v>43016</v>
      </c>
      <c r="V100" s="12">
        <v>324</v>
      </c>
      <c r="W100" s="12">
        <v>35</v>
      </c>
      <c r="X100" s="17">
        <v>0.2</v>
      </c>
      <c r="Y100">
        <v>57.800000000000004</v>
      </c>
      <c r="Z100" s="12">
        <v>92.800000000000011</v>
      </c>
      <c r="AA100" s="12">
        <v>14.816806722689078</v>
      </c>
      <c r="AB100" s="12">
        <v>196.2</v>
      </c>
      <c r="AF100" s="18">
        <f t="shared" si="1"/>
        <v>0</v>
      </c>
    </row>
    <row r="101" spans="1:32" customFormat="1" x14ac:dyDescent="0.25">
      <c r="A101" t="s">
        <v>15</v>
      </c>
      <c r="B101" t="s">
        <v>73</v>
      </c>
      <c r="C101" t="s">
        <v>330</v>
      </c>
      <c r="D101" s="9">
        <v>43014</v>
      </c>
      <c r="E101" s="9">
        <v>43016</v>
      </c>
      <c r="F101">
        <v>545</v>
      </c>
      <c r="H101">
        <v>65</v>
      </c>
      <c r="I101" t="s">
        <v>331</v>
      </c>
      <c r="J101">
        <v>30015</v>
      </c>
      <c r="K101" t="s">
        <v>15</v>
      </c>
      <c r="L101" t="s">
        <v>73</v>
      </c>
      <c r="M101" t="s">
        <v>73</v>
      </c>
      <c r="N101" t="s">
        <v>1020</v>
      </c>
      <c r="O101" s="14">
        <v>40233</v>
      </c>
      <c r="P101" t="s">
        <v>1021</v>
      </c>
      <c r="Q101" s="15" t="s">
        <v>848</v>
      </c>
      <c r="R101" s="15" t="s">
        <v>849</v>
      </c>
      <c r="S101" t="s">
        <v>330</v>
      </c>
      <c r="T101" s="9">
        <v>43014</v>
      </c>
      <c r="U101" s="9">
        <v>43016</v>
      </c>
      <c r="V101" s="12">
        <v>545</v>
      </c>
      <c r="W101" s="12">
        <v>65</v>
      </c>
      <c r="X101" s="17">
        <v>0.25</v>
      </c>
      <c r="Y101">
        <v>120</v>
      </c>
      <c r="Z101" s="12">
        <v>185</v>
      </c>
      <c r="AA101" s="12">
        <v>29.537815126050422</v>
      </c>
      <c r="AB101" s="12">
        <v>295</v>
      </c>
      <c r="AF101" s="18">
        <f t="shared" si="1"/>
        <v>0</v>
      </c>
    </row>
    <row r="102" spans="1:32" customFormat="1" x14ac:dyDescent="0.25">
      <c r="A102" t="s">
        <v>11</v>
      </c>
      <c r="B102" t="s">
        <v>51</v>
      </c>
      <c r="C102" t="s">
        <v>332</v>
      </c>
      <c r="D102" s="9">
        <v>43014</v>
      </c>
      <c r="E102" s="9">
        <v>43016</v>
      </c>
      <c r="F102">
        <v>154</v>
      </c>
      <c r="H102">
        <v>30</v>
      </c>
      <c r="I102" t="s">
        <v>333</v>
      </c>
      <c r="J102">
        <v>10085</v>
      </c>
      <c r="K102" t="s">
        <v>11</v>
      </c>
      <c r="L102" t="s">
        <v>964</v>
      </c>
      <c r="M102" t="s">
        <v>964</v>
      </c>
      <c r="N102" t="s">
        <v>965</v>
      </c>
      <c r="O102" s="14">
        <v>80337</v>
      </c>
      <c r="P102" t="s">
        <v>966</v>
      </c>
      <c r="Q102" s="15" t="s">
        <v>848</v>
      </c>
      <c r="R102" s="15" t="s">
        <v>849</v>
      </c>
      <c r="S102" t="s">
        <v>332</v>
      </c>
      <c r="T102" s="9">
        <v>43014</v>
      </c>
      <c r="U102" s="9">
        <v>43016</v>
      </c>
      <c r="V102" s="12">
        <v>154</v>
      </c>
      <c r="W102" s="12">
        <v>30</v>
      </c>
      <c r="X102" s="17">
        <v>0.25</v>
      </c>
      <c r="Y102">
        <v>31</v>
      </c>
      <c r="Z102" s="12">
        <v>61</v>
      </c>
      <c r="AA102" s="12">
        <v>9.7394957983193269</v>
      </c>
      <c r="AB102" s="12">
        <v>63</v>
      </c>
      <c r="AF102" s="18">
        <f t="shared" si="1"/>
        <v>0</v>
      </c>
    </row>
    <row r="103" spans="1:32" customFormat="1" x14ac:dyDescent="0.25">
      <c r="A103" t="s">
        <v>38</v>
      </c>
      <c r="B103" t="s">
        <v>334</v>
      </c>
      <c r="C103" t="s">
        <v>335</v>
      </c>
      <c r="D103" s="9">
        <v>43014</v>
      </c>
      <c r="E103" s="9">
        <v>43016</v>
      </c>
      <c r="F103">
        <v>366</v>
      </c>
      <c r="G103">
        <v>1</v>
      </c>
      <c r="H103">
        <v>45</v>
      </c>
      <c r="I103" t="s">
        <v>336</v>
      </c>
      <c r="J103">
        <v>40032</v>
      </c>
      <c r="K103" t="s">
        <v>38</v>
      </c>
      <c r="L103" t="s">
        <v>1022</v>
      </c>
      <c r="M103" t="s">
        <v>1022</v>
      </c>
      <c r="N103" t="s">
        <v>1023</v>
      </c>
      <c r="O103" s="14" t="s">
        <v>1024</v>
      </c>
      <c r="P103" t="s">
        <v>1025</v>
      </c>
      <c r="Q103" s="15" t="s">
        <v>848</v>
      </c>
      <c r="R103" s="15" t="s">
        <v>849</v>
      </c>
      <c r="S103" t="s">
        <v>335</v>
      </c>
      <c r="T103" s="9">
        <v>43014</v>
      </c>
      <c r="U103" s="9">
        <v>43016</v>
      </c>
      <c r="V103" s="12">
        <v>366</v>
      </c>
      <c r="W103" s="12">
        <v>45</v>
      </c>
      <c r="X103" s="17">
        <v>0.25</v>
      </c>
      <c r="Y103">
        <v>80.25</v>
      </c>
      <c r="Z103" s="12">
        <v>125.25</v>
      </c>
      <c r="AA103" s="12">
        <v>19.997899159663866</v>
      </c>
      <c r="AB103" s="12">
        <v>195.75</v>
      </c>
      <c r="AF103" s="18">
        <f t="shared" si="1"/>
        <v>0</v>
      </c>
    </row>
    <row r="104" spans="1:32" customFormat="1" x14ac:dyDescent="0.25">
      <c r="A104" t="s">
        <v>38</v>
      </c>
      <c r="B104" t="s">
        <v>50</v>
      </c>
      <c r="C104" t="s">
        <v>337</v>
      </c>
      <c r="D104" s="9">
        <v>43015</v>
      </c>
      <c r="E104" s="9">
        <v>43022</v>
      </c>
      <c r="F104">
        <v>2334</v>
      </c>
      <c r="H104">
        <v>50</v>
      </c>
      <c r="I104" t="s">
        <v>338</v>
      </c>
      <c r="J104">
        <v>40006</v>
      </c>
      <c r="K104" t="s">
        <v>38</v>
      </c>
      <c r="L104" t="s">
        <v>1026</v>
      </c>
      <c r="M104" t="s">
        <v>1027</v>
      </c>
      <c r="N104" t="s">
        <v>1028</v>
      </c>
      <c r="O104" s="14">
        <v>50670</v>
      </c>
      <c r="P104" t="s">
        <v>1029</v>
      </c>
      <c r="Q104" s="15" t="s">
        <v>848</v>
      </c>
      <c r="R104" s="15" t="s">
        <v>849</v>
      </c>
      <c r="S104" t="s">
        <v>337</v>
      </c>
      <c r="T104" s="9">
        <v>43015</v>
      </c>
      <c r="U104" s="9">
        <v>43022</v>
      </c>
      <c r="V104" s="12">
        <v>2334</v>
      </c>
      <c r="W104" s="12">
        <v>50</v>
      </c>
      <c r="X104" s="17">
        <v>0.2</v>
      </c>
      <c r="Y104">
        <v>456.8</v>
      </c>
      <c r="Z104" s="12">
        <v>506.8</v>
      </c>
      <c r="AA104" s="12">
        <v>80.917647058823533</v>
      </c>
      <c r="AB104" s="12">
        <v>1777.2</v>
      </c>
      <c r="AF104" s="18">
        <f t="shared" si="1"/>
        <v>0</v>
      </c>
    </row>
    <row r="105" spans="1:32" customFormat="1" x14ac:dyDescent="0.25">
      <c r="A105" t="s">
        <v>18</v>
      </c>
      <c r="B105" t="s">
        <v>34</v>
      </c>
      <c r="C105" t="s">
        <v>339</v>
      </c>
      <c r="D105" s="9">
        <v>43015</v>
      </c>
      <c r="E105" s="9">
        <v>43019</v>
      </c>
      <c r="F105">
        <v>828</v>
      </c>
      <c r="H105">
        <v>60</v>
      </c>
      <c r="I105" t="s">
        <v>340</v>
      </c>
      <c r="J105">
        <v>60001</v>
      </c>
      <c r="K105" t="s">
        <v>18</v>
      </c>
      <c r="L105" t="s">
        <v>903</v>
      </c>
      <c r="M105" t="s">
        <v>903</v>
      </c>
      <c r="N105" t="s">
        <v>904</v>
      </c>
      <c r="O105" s="14">
        <v>10247</v>
      </c>
      <c r="P105" t="s">
        <v>905</v>
      </c>
      <c r="Q105" s="15" t="s">
        <v>849</v>
      </c>
      <c r="R105" s="15" t="s">
        <v>848</v>
      </c>
      <c r="S105" t="s">
        <v>339</v>
      </c>
      <c r="T105" s="9">
        <v>43015</v>
      </c>
      <c r="U105" s="9">
        <v>43019</v>
      </c>
      <c r="V105" s="12">
        <v>828</v>
      </c>
      <c r="W105" s="12">
        <v>60</v>
      </c>
      <c r="X105" s="17">
        <v>0.25</v>
      </c>
      <c r="Y105">
        <v>192</v>
      </c>
      <c r="Z105" s="12">
        <v>252</v>
      </c>
      <c r="AA105" s="12">
        <v>40.235294117647058</v>
      </c>
      <c r="AB105" s="12">
        <v>516</v>
      </c>
      <c r="AF105" s="18">
        <f t="shared" si="1"/>
        <v>0</v>
      </c>
    </row>
    <row r="106" spans="1:32" customFormat="1" x14ac:dyDescent="0.25">
      <c r="A106" t="s">
        <v>15</v>
      </c>
      <c r="B106" t="s">
        <v>17</v>
      </c>
      <c r="C106" t="s">
        <v>341</v>
      </c>
      <c r="D106" s="9">
        <v>43015</v>
      </c>
      <c r="E106" s="9">
        <v>43018</v>
      </c>
      <c r="F106">
        <v>434</v>
      </c>
      <c r="G106">
        <v>1</v>
      </c>
      <c r="H106">
        <v>40</v>
      </c>
      <c r="I106" t="s">
        <v>342</v>
      </c>
      <c r="J106">
        <v>30022</v>
      </c>
      <c r="K106" t="s">
        <v>15</v>
      </c>
      <c r="L106" t="s">
        <v>892</v>
      </c>
      <c r="M106" t="s">
        <v>892</v>
      </c>
      <c r="N106" t="s">
        <v>893</v>
      </c>
      <c r="O106" s="14">
        <v>40225</v>
      </c>
      <c r="P106" t="s">
        <v>894</v>
      </c>
      <c r="Q106" s="15" t="s">
        <v>848</v>
      </c>
      <c r="R106" s="15" t="s">
        <v>849</v>
      </c>
      <c r="S106" t="s">
        <v>341</v>
      </c>
      <c r="T106" s="9">
        <v>43015</v>
      </c>
      <c r="U106" s="9">
        <v>43018</v>
      </c>
      <c r="V106" s="12">
        <v>434</v>
      </c>
      <c r="W106" s="12">
        <v>40</v>
      </c>
      <c r="X106" s="17">
        <v>0.2</v>
      </c>
      <c r="Y106">
        <v>78.800000000000011</v>
      </c>
      <c r="Z106" s="12">
        <v>118.80000000000001</v>
      </c>
      <c r="AA106" s="12">
        <v>18.96806722689076</v>
      </c>
      <c r="AB106" s="12">
        <v>275.2</v>
      </c>
      <c r="AF106" s="18">
        <f t="shared" si="1"/>
        <v>0</v>
      </c>
    </row>
    <row r="107" spans="1:32" customFormat="1" x14ac:dyDescent="0.25">
      <c r="A107" t="s">
        <v>18</v>
      </c>
      <c r="B107" t="s">
        <v>55</v>
      </c>
      <c r="C107" t="s">
        <v>343</v>
      </c>
      <c r="D107" s="9">
        <v>43015</v>
      </c>
      <c r="E107" s="9">
        <v>43017</v>
      </c>
      <c r="F107">
        <v>173</v>
      </c>
      <c r="H107">
        <v>50</v>
      </c>
      <c r="I107" t="s">
        <v>344</v>
      </c>
      <c r="J107">
        <v>60025</v>
      </c>
      <c r="K107" t="s">
        <v>18</v>
      </c>
      <c r="L107" t="s">
        <v>947</v>
      </c>
      <c r="M107" t="s">
        <v>947</v>
      </c>
      <c r="N107" t="s">
        <v>948</v>
      </c>
      <c r="O107" s="14">
        <v>10969</v>
      </c>
      <c r="P107" t="s">
        <v>949</v>
      </c>
      <c r="Q107" s="15" t="s">
        <v>848</v>
      </c>
      <c r="R107" s="15" t="s">
        <v>849</v>
      </c>
      <c r="S107" t="s">
        <v>343</v>
      </c>
      <c r="T107" s="9">
        <v>43015</v>
      </c>
      <c r="U107" s="9">
        <v>43017</v>
      </c>
      <c r="V107" s="12">
        <v>173</v>
      </c>
      <c r="W107" s="12">
        <v>50</v>
      </c>
      <c r="X107" s="17">
        <v>0.25</v>
      </c>
      <c r="Y107">
        <v>30.75</v>
      </c>
      <c r="Z107" s="12">
        <v>80.75</v>
      </c>
      <c r="AA107" s="12">
        <v>12.892857142857144</v>
      </c>
      <c r="AB107" s="12">
        <v>42.25</v>
      </c>
      <c r="AF107" s="18">
        <f t="shared" si="1"/>
        <v>0</v>
      </c>
    </row>
    <row r="108" spans="1:32" customFormat="1" x14ac:dyDescent="0.25">
      <c r="A108" t="s">
        <v>15</v>
      </c>
      <c r="B108" t="s">
        <v>345</v>
      </c>
      <c r="C108" t="s">
        <v>346</v>
      </c>
      <c r="D108" s="9">
        <v>43015</v>
      </c>
      <c r="E108" s="9">
        <v>43022</v>
      </c>
      <c r="F108">
        <v>686</v>
      </c>
      <c r="G108">
        <v>2</v>
      </c>
      <c r="H108">
        <v>40</v>
      </c>
      <c r="I108" t="s">
        <v>347</v>
      </c>
      <c r="J108">
        <v>30032</v>
      </c>
      <c r="K108" t="s">
        <v>15</v>
      </c>
      <c r="L108" t="s">
        <v>1030</v>
      </c>
      <c r="M108" t="s">
        <v>1030</v>
      </c>
      <c r="N108" t="s">
        <v>1031</v>
      </c>
      <c r="O108" s="14" t="s">
        <v>1032</v>
      </c>
      <c r="P108" t="s">
        <v>1033</v>
      </c>
      <c r="Q108" s="15" t="s">
        <v>848</v>
      </c>
      <c r="R108" s="15" t="s">
        <v>849</v>
      </c>
      <c r="S108" t="s">
        <v>346</v>
      </c>
      <c r="T108" s="9">
        <v>43015</v>
      </c>
      <c r="U108" s="9">
        <v>43022</v>
      </c>
      <c r="V108" s="12">
        <v>686</v>
      </c>
      <c r="W108" s="12">
        <v>40</v>
      </c>
      <c r="X108" s="17">
        <v>0.25</v>
      </c>
      <c r="Y108">
        <v>161.5</v>
      </c>
      <c r="Z108" s="12">
        <v>201.5</v>
      </c>
      <c r="AA108" s="12">
        <v>32.172268907563023</v>
      </c>
      <c r="AB108" s="12">
        <v>444.5</v>
      </c>
      <c r="AF108" s="18">
        <f t="shared" si="1"/>
        <v>0</v>
      </c>
    </row>
    <row r="109" spans="1:32" customFormat="1" x14ac:dyDescent="0.25">
      <c r="A109" t="s">
        <v>12</v>
      </c>
      <c r="B109" t="s">
        <v>60</v>
      </c>
      <c r="C109" t="s">
        <v>348</v>
      </c>
      <c r="D109" s="9">
        <v>43015</v>
      </c>
      <c r="E109" s="9">
        <v>43036</v>
      </c>
      <c r="F109">
        <v>1386</v>
      </c>
      <c r="H109">
        <v>35</v>
      </c>
      <c r="I109" t="s">
        <v>349</v>
      </c>
      <c r="J109">
        <v>50028</v>
      </c>
      <c r="K109" t="s">
        <v>12</v>
      </c>
      <c r="L109" t="s">
        <v>60</v>
      </c>
      <c r="M109" t="s">
        <v>60</v>
      </c>
      <c r="N109" t="s">
        <v>1034</v>
      </c>
      <c r="O109" s="14">
        <v>20253</v>
      </c>
      <c r="P109" t="s">
        <v>1035</v>
      </c>
      <c r="Q109" s="15" t="s">
        <v>848</v>
      </c>
      <c r="R109" s="15" t="s">
        <v>849</v>
      </c>
      <c r="S109" t="s">
        <v>348</v>
      </c>
      <c r="T109" s="9">
        <v>43015</v>
      </c>
      <c r="U109" s="9">
        <v>43036</v>
      </c>
      <c r="V109" s="12">
        <v>1386</v>
      </c>
      <c r="W109" s="12">
        <v>35</v>
      </c>
      <c r="X109" s="17">
        <v>0.25</v>
      </c>
      <c r="Y109">
        <v>337.75</v>
      </c>
      <c r="Z109" s="12">
        <v>372.75</v>
      </c>
      <c r="AA109" s="12">
        <v>59.514705882352942</v>
      </c>
      <c r="AB109" s="12">
        <v>978.25</v>
      </c>
      <c r="AF109" s="18">
        <f t="shared" si="1"/>
        <v>0</v>
      </c>
    </row>
    <row r="110" spans="1:32" customFormat="1" x14ac:dyDescent="0.25">
      <c r="A110" t="s">
        <v>15</v>
      </c>
      <c r="B110" t="s">
        <v>350</v>
      </c>
      <c r="C110" t="s">
        <v>351</v>
      </c>
      <c r="D110" s="9">
        <v>43015</v>
      </c>
      <c r="E110" s="9">
        <v>43028</v>
      </c>
      <c r="F110">
        <v>1246</v>
      </c>
      <c r="H110">
        <v>50</v>
      </c>
      <c r="I110" t="s">
        <v>352</v>
      </c>
      <c r="J110">
        <v>30030</v>
      </c>
      <c r="K110" t="s">
        <v>15</v>
      </c>
      <c r="L110" t="s">
        <v>1013</v>
      </c>
      <c r="M110" t="s">
        <v>1013</v>
      </c>
      <c r="N110" t="s">
        <v>1014</v>
      </c>
      <c r="O110" s="14">
        <v>82340</v>
      </c>
      <c r="P110" t="s">
        <v>1015</v>
      </c>
      <c r="Q110" s="15" t="s">
        <v>848</v>
      </c>
      <c r="R110" s="15" t="s">
        <v>849</v>
      </c>
      <c r="S110" t="s">
        <v>351</v>
      </c>
      <c r="T110" s="9">
        <v>43015</v>
      </c>
      <c r="U110" s="9">
        <v>43028</v>
      </c>
      <c r="V110" s="12">
        <v>1246</v>
      </c>
      <c r="W110" s="12">
        <v>50</v>
      </c>
      <c r="X110" s="17">
        <v>0.25</v>
      </c>
      <c r="Y110">
        <v>299</v>
      </c>
      <c r="Z110" s="12">
        <v>349</v>
      </c>
      <c r="AA110" s="12">
        <v>55.72268907563025</v>
      </c>
      <c r="AB110" s="12">
        <v>847</v>
      </c>
      <c r="AF110" s="18">
        <f t="shared" si="1"/>
        <v>0</v>
      </c>
    </row>
    <row r="111" spans="1:32" customFormat="1" x14ac:dyDescent="0.25">
      <c r="A111" t="s">
        <v>11</v>
      </c>
      <c r="B111" t="s">
        <v>54</v>
      </c>
      <c r="C111" t="s">
        <v>353</v>
      </c>
      <c r="D111" s="9">
        <v>43015</v>
      </c>
      <c r="E111" s="9">
        <v>43018</v>
      </c>
      <c r="F111">
        <v>216</v>
      </c>
      <c r="H111">
        <v>35</v>
      </c>
      <c r="I111" t="s">
        <v>354</v>
      </c>
      <c r="J111">
        <v>10095</v>
      </c>
      <c r="K111" t="s">
        <v>11</v>
      </c>
      <c r="L111" t="s">
        <v>900</v>
      </c>
      <c r="M111" t="s">
        <v>900</v>
      </c>
      <c r="N111" t="s">
        <v>901</v>
      </c>
      <c r="O111" s="14">
        <v>80337</v>
      </c>
      <c r="P111" t="s">
        <v>902</v>
      </c>
      <c r="Q111" s="15" t="s">
        <v>848</v>
      </c>
      <c r="R111" s="15" t="s">
        <v>849</v>
      </c>
      <c r="S111" t="s">
        <v>353</v>
      </c>
      <c r="T111" s="9">
        <v>43015</v>
      </c>
      <c r="U111" s="9">
        <v>43018</v>
      </c>
      <c r="V111" s="12">
        <v>216</v>
      </c>
      <c r="W111" s="12">
        <v>35</v>
      </c>
      <c r="X111" s="17">
        <v>0.25</v>
      </c>
      <c r="Y111">
        <v>45.25</v>
      </c>
      <c r="Z111" s="12">
        <v>80.25</v>
      </c>
      <c r="AA111" s="12">
        <v>12.813025210084035</v>
      </c>
      <c r="AB111" s="12">
        <v>100.75</v>
      </c>
      <c r="AF111" s="18">
        <f t="shared" si="1"/>
        <v>0</v>
      </c>
    </row>
    <row r="112" spans="1:32" customFormat="1" x14ac:dyDescent="0.25">
      <c r="A112" t="s">
        <v>15</v>
      </c>
      <c r="B112" t="s">
        <v>355</v>
      </c>
      <c r="C112" t="s">
        <v>356</v>
      </c>
      <c r="D112" s="9">
        <v>43015</v>
      </c>
      <c r="E112" s="9">
        <v>43018</v>
      </c>
      <c r="F112">
        <v>483</v>
      </c>
      <c r="H112">
        <v>35</v>
      </c>
      <c r="I112" t="s">
        <v>357</v>
      </c>
      <c r="J112">
        <v>30036</v>
      </c>
      <c r="K112" t="s">
        <v>15</v>
      </c>
      <c r="L112" t="s">
        <v>1036</v>
      </c>
      <c r="M112" t="s">
        <v>1037</v>
      </c>
      <c r="N112" t="s">
        <v>1038</v>
      </c>
      <c r="O112" s="14">
        <v>40213</v>
      </c>
      <c r="P112" t="s">
        <v>1039</v>
      </c>
      <c r="Q112" s="15" t="s">
        <v>848</v>
      </c>
      <c r="R112" s="15" t="s">
        <v>849</v>
      </c>
      <c r="S112" t="s">
        <v>356</v>
      </c>
      <c r="T112" s="9">
        <v>43015</v>
      </c>
      <c r="U112" s="9">
        <v>43018</v>
      </c>
      <c r="V112" s="12">
        <v>483</v>
      </c>
      <c r="W112" s="12">
        <v>35</v>
      </c>
      <c r="X112" s="17">
        <v>0.25</v>
      </c>
      <c r="Y112">
        <v>112</v>
      </c>
      <c r="Z112" s="12">
        <v>147</v>
      </c>
      <c r="AA112" s="12">
        <v>23.47058823529412</v>
      </c>
      <c r="AB112" s="12">
        <v>301</v>
      </c>
      <c r="AF112" s="18">
        <f t="shared" si="1"/>
        <v>0</v>
      </c>
    </row>
    <row r="113" spans="1:32" customFormat="1" x14ac:dyDescent="0.25">
      <c r="A113" t="s">
        <v>38</v>
      </c>
      <c r="B113" t="s">
        <v>358</v>
      </c>
      <c r="C113" t="s">
        <v>359</v>
      </c>
      <c r="D113" s="9">
        <v>43015</v>
      </c>
      <c r="E113" s="9">
        <v>43018</v>
      </c>
      <c r="F113">
        <v>396</v>
      </c>
      <c r="G113">
        <v>1</v>
      </c>
      <c r="H113">
        <v>30</v>
      </c>
      <c r="I113" t="s">
        <v>360</v>
      </c>
      <c r="J113">
        <v>40013</v>
      </c>
      <c r="K113" t="s">
        <v>38</v>
      </c>
      <c r="L113" t="s">
        <v>999</v>
      </c>
      <c r="M113" t="s">
        <v>999</v>
      </c>
      <c r="N113" t="s">
        <v>1000</v>
      </c>
      <c r="O113" s="14">
        <v>50825</v>
      </c>
      <c r="P113" t="s">
        <v>1001</v>
      </c>
      <c r="Q113" s="15" t="s">
        <v>848</v>
      </c>
      <c r="R113" s="15" t="s">
        <v>849</v>
      </c>
      <c r="S113" t="s">
        <v>359</v>
      </c>
      <c r="T113" s="9">
        <v>43015</v>
      </c>
      <c r="U113" s="9">
        <v>43018</v>
      </c>
      <c r="V113" s="12">
        <v>396</v>
      </c>
      <c r="W113" s="12">
        <v>30</v>
      </c>
      <c r="X113" s="17">
        <v>0.25</v>
      </c>
      <c r="Y113">
        <v>91.5</v>
      </c>
      <c r="Z113" s="12">
        <v>121.5</v>
      </c>
      <c r="AA113" s="12">
        <v>19.399159663865547</v>
      </c>
      <c r="AB113" s="12">
        <v>244.5</v>
      </c>
      <c r="AF113" s="18">
        <f t="shared" si="1"/>
        <v>0</v>
      </c>
    </row>
    <row r="114" spans="1:32" customFormat="1" x14ac:dyDescent="0.25">
      <c r="A114" t="s">
        <v>15</v>
      </c>
      <c r="B114" t="s">
        <v>361</v>
      </c>
      <c r="C114" t="s">
        <v>362</v>
      </c>
      <c r="D114" s="9">
        <v>43015</v>
      </c>
      <c r="E114" s="9">
        <v>43018</v>
      </c>
      <c r="F114">
        <v>452</v>
      </c>
      <c r="G114">
        <v>1</v>
      </c>
      <c r="H114">
        <v>35</v>
      </c>
      <c r="I114" t="s">
        <v>363</v>
      </c>
      <c r="J114">
        <v>30035</v>
      </c>
      <c r="K114" t="s">
        <v>15</v>
      </c>
      <c r="L114" t="s">
        <v>1036</v>
      </c>
      <c r="M114" t="s">
        <v>1037</v>
      </c>
      <c r="N114" t="s">
        <v>1038</v>
      </c>
      <c r="O114" s="14">
        <v>40213</v>
      </c>
      <c r="P114" t="s">
        <v>1039</v>
      </c>
      <c r="Q114" s="15" t="s">
        <v>848</v>
      </c>
      <c r="R114" s="15" t="s">
        <v>849</v>
      </c>
      <c r="S114" t="s">
        <v>362</v>
      </c>
      <c r="T114" s="9">
        <v>43015</v>
      </c>
      <c r="U114" s="9">
        <v>43018</v>
      </c>
      <c r="V114" s="12">
        <v>452</v>
      </c>
      <c r="W114" s="12">
        <v>35</v>
      </c>
      <c r="X114" s="17">
        <v>0.25</v>
      </c>
      <c r="Y114">
        <v>104.25</v>
      </c>
      <c r="Z114" s="12">
        <v>139.25</v>
      </c>
      <c r="AA114" s="12">
        <v>22.233193277310924</v>
      </c>
      <c r="AB114" s="12">
        <v>277.75</v>
      </c>
      <c r="AF114" s="18">
        <f t="shared" si="1"/>
        <v>0</v>
      </c>
    </row>
    <row r="115" spans="1:32" customFormat="1" x14ac:dyDescent="0.25">
      <c r="A115" t="s">
        <v>12</v>
      </c>
      <c r="B115" t="s">
        <v>36</v>
      </c>
      <c r="C115" t="s">
        <v>364</v>
      </c>
      <c r="D115" s="9">
        <v>43015</v>
      </c>
      <c r="E115" s="9">
        <v>43018</v>
      </c>
      <c r="F115">
        <v>299</v>
      </c>
      <c r="H115">
        <v>35</v>
      </c>
      <c r="I115" t="s">
        <v>365</v>
      </c>
      <c r="J115">
        <v>50034</v>
      </c>
      <c r="K115" t="s">
        <v>12</v>
      </c>
      <c r="L115" t="s">
        <v>36</v>
      </c>
      <c r="M115" t="s">
        <v>36</v>
      </c>
      <c r="N115" t="s">
        <v>976</v>
      </c>
      <c r="O115" s="14">
        <v>22763</v>
      </c>
      <c r="P115" t="s">
        <v>977</v>
      </c>
      <c r="Q115" s="15" t="s">
        <v>848</v>
      </c>
      <c r="R115" s="15" t="s">
        <v>849</v>
      </c>
      <c r="S115" t="s">
        <v>364</v>
      </c>
      <c r="T115" s="9">
        <v>43015</v>
      </c>
      <c r="U115" s="9">
        <v>43018</v>
      </c>
      <c r="V115" s="12">
        <v>299</v>
      </c>
      <c r="W115" s="12">
        <v>35</v>
      </c>
      <c r="X115" s="17">
        <v>0.25</v>
      </c>
      <c r="Y115">
        <v>66</v>
      </c>
      <c r="Z115" s="12">
        <v>101</v>
      </c>
      <c r="AA115" s="12">
        <v>16.126050420168067</v>
      </c>
      <c r="AB115" s="12">
        <v>163</v>
      </c>
      <c r="AF115" s="18">
        <f t="shared" si="1"/>
        <v>0</v>
      </c>
    </row>
    <row r="116" spans="1:32" customFormat="1" x14ac:dyDescent="0.25">
      <c r="A116" t="s">
        <v>15</v>
      </c>
      <c r="B116" t="s">
        <v>366</v>
      </c>
      <c r="C116" t="s">
        <v>367</v>
      </c>
      <c r="D116" s="9">
        <v>43015</v>
      </c>
      <c r="E116" s="9">
        <v>43018</v>
      </c>
      <c r="F116">
        <v>554</v>
      </c>
      <c r="H116">
        <v>45</v>
      </c>
      <c r="I116" t="s">
        <v>368</v>
      </c>
      <c r="J116">
        <v>30037</v>
      </c>
      <c r="K116" t="s">
        <v>15</v>
      </c>
      <c r="L116" t="s">
        <v>1036</v>
      </c>
      <c r="M116" t="s">
        <v>1037</v>
      </c>
      <c r="N116" t="s">
        <v>1038</v>
      </c>
      <c r="O116" s="14">
        <v>40213</v>
      </c>
      <c r="P116" t="s">
        <v>1039</v>
      </c>
      <c r="Q116" s="15" t="s">
        <v>848</v>
      </c>
      <c r="R116" s="15" t="s">
        <v>849</v>
      </c>
      <c r="S116" t="s">
        <v>367</v>
      </c>
      <c r="T116" s="9">
        <v>43015</v>
      </c>
      <c r="U116" s="9">
        <v>43018</v>
      </c>
      <c r="V116" s="12">
        <v>554</v>
      </c>
      <c r="W116" s="12">
        <v>45</v>
      </c>
      <c r="X116" s="17">
        <v>0.25</v>
      </c>
      <c r="Y116">
        <v>127.25</v>
      </c>
      <c r="Z116" s="12">
        <v>172.25</v>
      </c>
      <c r="AA116" s="12">
        <v>27.502100840336134</v>
      </c>
      <c r="AB116" s="12">
        <v>336.75</v>
      </c>
      <c r="AF116" s="18">
        <f t="shared" si="1"/>
        <v>0</v>
      </c>
    </row>
    <row r="117" spans="1:32" customFormat="1" x14ac:dyDescent="0.25">
      <c r="A117" t="s">
        <v>11</v>
      </c>
      <c r="B117" t="s">
        <v>69</v>
      </c>
      <c r="C117" t="s">
        <v>369</v>
      </c>
      <c r="D117" s="9">
        <v>43016</v>
      </c>
      <c r="E117" s="9">
        <v>43021</v>
      </c>
      <c r="F117">
        <v>479</v>
      </c>
      <c r="H117">
        <v>40</v>
      </c>
      <c r="I117" t="s">
        <v>370</v>
      </c>
      <c r="J117">
        <v>10098</v>
      </c>
      <c r="K117" t="s">
        <v>11</v>
      </c>
      <c r="L117" t="s">
        <v>869</v>
      </c>
      <c r="M117" t="s">
        <v>869</v>
      </c>
      <c r="N117" t="s">
        <v>870</v>
      </c>
      <c r="O117" s="14">
        <v>80469</v>
      </c>
      <c r="P117" t="s">
        <v>871</v>
      </c>
      <c r="Q117" s="15" t="s">
        <v>848</v>
      </c>
      <c r="R117" s="15" t="s">
        <v>849</v>
      </c>
      <c r="S117" t="s">
        <v>369</v>
      </c>
      <c r="T117" s="9">
        <v>43016</v>
      </c>
      <c r="U117" s="9">
        <v>43021</v>
      </c>
      <c r="V117" s="12">
        <v>479</v>
      </c>
      <c r="W117" s="12">
        <v>40</v>
      </c>
      <c r="X117" s="17">
        <v>0.25</v>
      </c>
      <c r="Y117">
        <v>109.75</v>
      </c>
      <c r="Z117" s="12">
        <v>149.75</v>
      </c>
      <c r="AA117" s="12">
        <v>23.909663865546218</v>
      </c>
      <c r="AB117" s="12">
        <v>289.25</v>
      </c>
      <c r="AF117" s="18">
        <f t="shared" si="1"/>
        <v>0</v>
      </c>
    </row>
    <row r="118" spans="1:32" customFormat="1" x14ac:dyDescent="0.25">
      <c r="A118" t="s">
        <v>15</v>
      </c>
      <c r="B118" t="s">
        <v>25</v>
      </c>
      <c r="C118" t="s">
        <v>371</v>
      </c>
      <c r="D118" s="9">
        <v>43016</v>
      </c>
      <c r="E118" s="9">
        <v>43018</v>
      </c>
      <c r="F118">
        <v>306</v>
      </c>
      <c r="H118">
        <v>45</v>
      </c>
      <c r="I118" t="s">
        <v>372</v>
      </c>
      <c r="J118">
        <v>30023</v>
      </c>
      <c r="K118" t="s">
        <v>15</v>
      </c>
      <c r="L118" t="s">
        <v>892</v>
      </c>
      <c r="M118" t="s">
        <v>892</v>
      </c>
      <c r="N118" t="s">
        <v>893</v>
      </c>
      <c r="O118" s="14">
        <v>40225</v>
      </c>
      <c r="P118" t="s">
        <v>894</v>
      </c>
      <c r="Q118" s="15" t="s">
        <v>848</v>
      </c>
      <c r="R118" s="15" t="s">
        <v>849</v>
      </c>
      <c r="S118" t="s">
        <v>371</v>
      </c>
      <c r="T118" s="9">
        <v>43016</v>
      </c>
      <c r="U118" s="9">
        <v>43018</v>
      </c>
      <c r="V118" s="12">
        <v>306</v>
      </c>
      <c r="W118" s="12">
        <v>45</v>
      </c>
      <c r="X118" s="17">
        <v>0.2</v>
      </c>
      <c r="Y118">
        <v>52.2</v>
      </c>
      <c r="Z118" s="12">
        <v>97.2</v>
      </c>
      <c r="AA118" s="12">
        <v>15.519327731092437</v>
      </c>
      <c r="AB118" s="12">
        <v>163.80000000000001</v>
      </c>
      <c r="AF118" s="18">
        <f t="shared" si="1"/>
        <v>0</v>
      </c>
    </row>
    <row r="119" spans="1:32" customFormat="1" x14ac:dyDescent="0.25">
      <c r="A119" t="s">
        <v>15</v>
      </c>
      <c r="B119" t="s">
        <v>73</v>
      </c>
      <c r="C119" t="s">
        <v>373</v>
      </c>
      <c r="D119" s="9">
        <v>43016</v>
      </c>
      <c r="E119" s="9">
        <v>43018</v>
      </c>
      <c r="F119">
        <v>776</v>
      </c>
      <c r="G119">
        <v>1</v>
      </c>
      <c r="H119">
        <v>65</v>
      </c>
      <c r="I119" t="s">
        <v>374</v>
      </c>
      <c r="J119">
        <v>30015</v>
      </c>
      <c r="K119" t="s">
        <v>15</v>
      </c>
      <c r="L119" t="s">
        <v>73</v>
      </c>
      <c r="M119" t="s">
        <v>73</v>
      </c>
      <c r="N119" t="s">
        <v>1020</v>
      </c>
      <c r="O119" s="14">
        <v>40233</v>
      </c>
      <c r="P119" t="s">
        <v>1021</v>
      </c>
      <c r="Q119" s="15" t="s">
        <v>848</v>
      </c>
      <c r="R119" s="15" t="s">
        <v>849</v>
      </c>
      <c r="S119" t="s">
        <v>373</v>
      </c>
      <c r="T119" s="9">
        <v>43016</v>
      </c>
      <c r="U119" s="9">
        <v>43018</v>
      </c>
      <c r="V119" s="12">
        <v>776</v>
      </c>
      <c r="W119" s="12">
        <v>65</v>
      </c>
      <c r="X119" s="17">
        <v>0.25</v>
      </c>
      <c r="Y119">
        <v>177.75</v>
      </c>
      <c r="Z119" s="12">
        <v>242.75</v>
      </c>
      <c r="AA119" s="12">
        <v>38.758403361344534</v>
      </c>
      <c r="AB119" s="12">
        <v>468.25</v>
      </c>
      <c r="AF119" s="18">
        <f t="shared" si="1"/>
        <v>0</v>
      </c>
    </row>
    <row r="120" spans="1:32" customFormat="1" x14ac:dyDescent="0.25">
      <c r="A120" t="s">
        <v>11</v>
      </c>
      <c r="B120" t="s">
        <v>66</v>
      </c>
      <c r="C120" t="s">
        <v>375</v>
      </c>
      <c r="D120" s="9">
        <v>43016</v>
      </c>
      <c r="E120" s="9">
        <v>43029</v>
      </c>
      <c r="F120">
        <v>1362</v>
      </c>
      <c r="H120">
        <v>50</v>
      </c>
      <c r="I120" t="s">
        <v>376</v>
      </c>
      <c r="J120">
        <v>10094</v>
      </c>
      <c r="K120" t="s">
        <v>11</v>
      </c>
      <c r="L120" t="s">
        <v>66</v>
      </c>
      <c r="M120" t="s">
        <v>66</v>
      </c>
      <c r="N120" t="s">
        <v>890</v>
      </c>
      <c r="O120" s="14">
        <v>80804</v>
      </c>
      <c r="P120" t="s">
        <v>891</v>
      </c>
      <c r="Q120" s="15" t="s">
        <v>848</v>
      </c>
      <c r="R120" s="15" t="s">
        <v>849</v>
      </c>
      <c r="S120" t="s">
        <v>375</v>
      </c>
      <c r="T120" s="9">
        <v>43016</v>
      </c>
      <c r="U120" s="9">
        <v>43029</v>
      </c>
      <c r="V120" s="12">
        <v>1362</v>
      </c>
      <c r="W120" s="12">
        <v>50</v>
      </c>
      <c r="X120" s="17">
        <v>0.25</v>
      </c>
      <c r="Y120">
        <v>328</v>
      </c>
      <c r="Z120" s="12">
        <v>378</v>
      </c>
      <c r="AA120" s="12">
        <v>60.352941176470587</v>
      </c>
      <c r="AB120" s="12">
        <v>934</v>
      </c>
      <c r="AF120" s="18">
        <f t="shared" si="1"/>
        <v>0</v>
      </c>
    </row>
    <row r="121" spans="1:32" customFormat="1" x14ac:dyDescent="0.25">
      <c r="A121" t="s">
        <v>38</v>
      </c>
      <c r="B121" t="s">
        <v>334</v>
      </c>
      <c r="C121" t="s">
        <v>377</v>
      </c>
      <c r="D121" s="9">
        <v>43016</v>
      </c>
      <c r="E121" s="9">
        <v>43019</v>
      </c>
      <c r="F121">
        <v>800</v>
      </c>
      <c r="G121">
        <v>1</v>
      </c>
      <c r="H121">
        <v>45</v>
      </c>
      <c r="I121" t="s">
        <v>378</v>
      </c>
      <c r="J121">
        <v>40032</v>
      </c>
      <c r="K121" t="s">
        <v>38</v>
      </c>
      <c r="L121" t="s">
        <v>1022</v>
      </c>
      <c r="M121" t="s">
        <v>1022</v>
      </c>
      <c r="N121" t="s">
        <v>1023</v>
      </c>
      <c r="O121" s="14" t="s">
        <v>1024</v>
      </c>
      <c r="P121" t="s">
        <v>1025</v>
      </c>
      <c r="Q121" s="15" t="s">
        <v>848</v>
      </c>
      <c r="R121" s="15" t="s">
        <v>849</v>
      </c>
      <c r="S121" t="s">
        <v>377</v>
      </c>
      <c r="T121" s="9">
        <v>43016</v>
      </c>
      <c r="U121" s="9">
        <v>43019</v>
      </c>
      <c r="V121" s="12">
        <v>800</v>
      </c>
      <c r="W121" s="12">
        <v>45</v>
      </c>
      <c r="X121" s="17">
        <v>0.25</v>
      </c>
      <c r="Y121">
        <v>188.75</v>
      </c>
      <c r="Z121" s="12">
        <v>233.75</v>
      </c>
      <c r="AA121" s="12">
        <v>37.321428571428569</v>
      </c>
      <c r="AB121" s="12">
        <v>521.25</v>
      </c>
      <c r="AF121" s="18">
        <f t="shared" si="1"/>
        <v>0</v>
      </c>
    </row>
    <row r="122" spans="1:32" customFormat="1" x14ac:dyDescent="0.25">
      <c r="A122" t="s">
        <v>15</v>
      </c>
      <c r="B122" t="s">
        <v>26</v>
      </c>
      <c r="C122" t="s">
        <v>379</v>
      </c>
      <c r="D122" s="9">
        <v>43016</v>
      </c>
      <c r="E122" s="9">
        <v>43019</v>
      </c>
      <c r="F122">
        <v>403</v>
      </c>
      <c r="G122">
        <v>3</v>
      </c>
      <c r="H122">
        <v>35</v>
      </c>
      <c r="I122" t="s">
        <v>380</v>
      </c>
      <c r="J122">
        <v>30013</v>
      </c>
      <c r="K122" t="s">
        <v>15</v>
      </c>
      <c r="L122" t="s">
        <v>941</v>
      </c>
      <c r="M122" t="s">
        <v>941</v>
      </c>
      <c r="N122" t="s">
        <v>942</v>
      </c>
      <c r="O122" s="14">
        <v>40215</v>
      </c>
      <c r="P122" t="s">
        <v>943</v>
      </c>
      <c r="Q122" s="15" t="s">
        <v>848</v>
      </c>
      <c r="R122" s="15" t="s">
        <v>849</v>
      </c>
      <c r="S122" t="s">
        <v>379</v>
      </c>
      <c r="T122" s="9">
        <v>43016</v>
      </c>
      <c r="U122" s="9">
        <v>43019</v>
      </c>
      <c r="V122" s="12">
        <v>403</v>
      </c>
      <c r="W122" s="12">
        <v>35</v>
      </c>
      <c r="X122" s="17">
        <v>0.25</v>
      </c>
      <c r="Y122">
        <v>92</v>
      </c>
      <c r="Z122" s="12">
        <v>127</v>
      </c>
      <c r="AA122" s="12">
        <v>20.277310924369747</v>
      </c>
      <c r="AB122" s="12">
        <v>241</v>
      </c>
      <c r="AF122" s="18">
        <f t="shared" si="1"/>
        <v>0</v>
      </c>
    </row>
    <row r="123" spans="1:32" customFormat="1" x14ac:dyDescent="0.25">
      <c r="A123" t="s">
        <v>15</v>
      </c>
      <c r="B123" t="s">
        <v>381</v>
      </c>
      <c r="C123" t="s">
        <v>382</v>
      </c>
      <c r="D123" s="9">
        <v>43016</v>
      </c>
      <c r="E123" s="9">
        <v>43019</v>
      </c>
      <c r="F123">
        <v>455</v>
      </c>
      <c r="H123">
        <v>50</v>
      </c>
      <c r="I123" t="s">
        <v>383</v>
      </c>
      <c r="J123">
        <v>30029</v>
      </c>
      <c r="K123" t="s">
        <v>15</v>
      </c>
      <c r="L123" t="s">
        <v>1013</v>
      </c>
      <c r="M123" t="s">
        <v>1013</v>
      </c>
      <c r="N123" t="s">
        <v>1014</v>
      </c>
      <c r="O123" s="14">
        <v>82340</v>
      </c>
      <c r="P123" t="s">
        <v>1015</v>
      </c>
      <c r="Q123" s="15" t="s">
        <v>848</v>
      </c>
      <c r="R123" s="15" t="s">
        <v>849</v>
      </c>
      <c r="S123" t="s">
        <v>382</v>
      </c>
      <c r="T123" s="9">
        <v>43016</v>
      </c>
      <c r="U123" s="9">
        <v>43019</v>
      </c>
      <c r="V123" s="12">
        <v>455</v>
      </c>
      <c r="W123" s="12">
        <v>50</v>
      </c>
      <c r="X123" s="17">
        <v>0.25</v>
      </c>
      <c r="Y123">
        <v>101.25</v>
      </c>
      <c r="Z123" s="12">
        <v>151.25</v>
      </c>
      <c r="AA123" s="12">
        <v>24.149159663865547</v>
      </c>
      <c r="AB123" s="12">
        <v>253.75</v>
      </c>
      <c r="AF123" s="18">
        <f t="shared" si="1"/>
        <v>0</v>
      </c>
    </row>
    <row r="124" spans="1:32" customFormat="1" x14ac:dyDescent="0.25">
      <c r="A124" t="s">
        <v>11</v>
      </c>
      <c r="B124" t="s">
        <v>113</v>
      </c>
      <c r="C124" t="s">
        <v>384</v>
      </c>
      <c r="D124" s="9">
        <v>43016</v>
      </c>
      <c r="E124" s="9">
        <v>43022</v>
      </c>
      <c r="F124">
        <v>665</v>
      </c>
      <c r="G124">
        <v>1</v>
      </c>
      <c r="H124">
        <v>65</v>
      </c>
      <c r="I124" t="s">
        <v>385</v>
      </c>
      <c r="J124">
        <v>10101</v>
      </c>
      <c r="K124" t="s">
        <v>11</v>
      </c>
      <c r="L124" t="s">
        <v>856</v>
      </c>
      <c r="M124" t="s">
        <v>856</v>
      </c>
      <c r="N124" t="s">
        <v>857</v>
      </c>
      <c r="O124" s="14" t="s">
        <v>858</v>
      </c>
      <c r="P124" t="s">
        <v>859</v>
      </c>
      <c r="Q124" s="15" t="s">
        <v>848</v>
      </c>
      <c r="R124" s="15" t="s">
        <v>849</v>
      </c>
      <c r="S124" t="s">
        <v>384</v>
      </c>
      <c r="T124" s="9">
        <v>43016</v>
      </c>
      <c r="U124" s="9">
        <v>43022</v>
      </c>
      <c r="V124" s="12">
        <v>665</v>
      </c>
      <c r="W124" s="12">
        <v>65</v>
      </c>
      <c r="X124" s="17">
        <v>0.25</v>
      </c>
      <c r="Y124">
        <v>150</v>
      </c>
      <c r="Z124" s="12">
        <v>215</v>
      </c>
      <c r="AA124" s="12">
        <v>34.327731092436977</v>
      </c>
      <c r="AB124" s="12">
        <v>385</v>
      </c>
      <c r="AF124" s="18">
        <f t="shared" si="1"/>
        <v>0</v>
      </c>
    </row>
    <row r="125" spans="1:32" customFormat="1" x14ac:dyDescent="0.25">
      <c r="A125" t="s">
        <v>12</v>
      </c>
      <c r="B125" t="s">
        <v>108</v>
      </c>
      <c r="C125" t="s">
        <v>386</v>
      </c>
      <c r="D125" s="9">
        <v>43016</v>
      </c>
      <c r="E125" s="9">
        <v>43022</v>
      </c>
      <c r="F125">
        <v>519</v>
      </c>
      <c r="H125">
        <v>50</v>
      </c>
      <c r="I125" t="s">
        <v>387</v>
      </c>
      <c r="J125">
        <v>50037</v>
      </c>
      <c r="K125" t="s">
        <v>12</v>
      </c>
      <c r="L125" t="s">
        <v>850</v>
      </c>
      <c r="M125" t="s">
        <v>850</v>
      </c>
      <c r="N125" t="s">
        <v>851</v>
      </c>
      <c r="O125" s="14">
        <v>31185</v>
      </c>
      <c r="P125" t="s">
        <v>852</v>
      </c>
      <c r="Q125" s="15" t="s">
        <v>849</v>
      </c>
      <c r="R125" s="15" t="s">
        <v>848</v>
      </c>
      <c r="S125" t="s">
        <v>386</v>
      </c>
      <c r="T125" s="9">
        <v>43016</v>
      </c>
      <c r="U125" s="9">
        <v>43022</v>
      </c>
      <c r="V125" s="12">
        <v>519</v>
      </c>
      <c r="W125" s="12">
        <v>50</v>
      </c>
      <c r="X125" s="17">
        <v>0.25</v>
      </c>
      <c r="Y125">
        <v>117.25</v>
      </c>
      <c r="Z125" s="12">
        <v>167.25</v>
      </c>
      <c r="AA125" s="12">
        <v>26.70378151260504</v>
      </c>
      <c r="AB125" s="12">
        <v>301.75</v>
      </c>
      <c r="AF125" s="18">
        <f t="shared" si="1"/>
        <v>0</v>
      </c>
    </row>
    <row r="126" spans="1:32" customFormat="1" x14ac:dyDescent="0.25">
      <c r="A126" t="s">
        <v>12</v>
      </c>
      <c r="B126" t="s">
        <v>33</v>
      </c>
      <c r="C126" t="s">
        <v>388</v>
      </c>
      <c r="D126" s="9">
        <v>43016</v>
      </c>
      <c r="E126" s="9">
        <v>43021</v>
      </c>
      <c r="F126">
        <v>331</v>
      </c>
      <c r="H126">
        <v>30</v>
      </c>
      <c r="I126" t="s">
        <v>389</v>
      </c>
      <c r="J126">
        <v>50005</v>
      </c>
      <c r="K126" t="s">
        <v>12</v>
      </c>
      <c r="L126" t="s">
        <v>33</v>
      </c>
      <c r="M126" t="s">
        <v>33</v>
      </c>
      <c r="N126" t="s">
        <v>862</v>
      </c>
      <c r="O126" s="14">
        <v>20359</v>
      </c>
      <c r="P126" t="s">
        <v>863</v>
      </c>
      <c r="Q126" s="15" t="s">
        <v>848</v>
      </c>
      <c r="R126" s="15" t="s">
        <v>849</v>
      </c>
      <c r="S126" t="s">
        <v>388</v>
      </c>
      <c r="T126" s="9">
        <v>43016</v>
      </c>
      <c r="U126" s="9">
        <v>43021</v>
      </c>
      <c r="V126" s="12">
        <v>331</v>
      </c>
      <c r="W126" s="12">
        <v>30</v>
      </c>
      <c r="X126" s="17">
        <v>0.25</v>
      </c>
      <c r="Y126">
        <v>75.25</v>
      </c>
      <c r="Z126" s="12">
        <v>105.25</v>
      </c>
      <c r="AA126" s="12">
        <v>16.804621848739494</v>
      </c>
      <c r="AB126" s="12">
        <v>195.75</v>
      </c>
      <c r="AF126" s="18">
        <f t="shared" si="1"/>
        <v>0</v>
      </c>
    </row>
    <row r="127" spans="1:32" customFormat="1" x14ac:dyDescent="0.25">
      <c r="A127" t="s">
        <v>18</v>
      </c>
      <c r="B127" t="s">
        <v>46</v>
      </c>
      <c r="C127" t="s">
        <v>390</v>
      </c>
      <c r="D127" s="9">
        <v>43017</v>
      </c>
      <c r="E127" s="9">
        <v>43024</v>
      </c>
      <c r="F127">
        <v>434</v>
      </c>
      <c r="G127">
        <v>-1</v>
      </c>
      <c r="H127">
        <v>35</v>
      </c>
      <c r="I127" t="s">
        <v>391</v>
      </c>
      <c r="J127">
        <v>60004</v>
      </c>
      <c r="K127" t="s">
        <v>18</v>
      </c>
      <c r="L127" t="s">
        <v>46</v>
      </c>
      <c r="M127" t="s">
        <v>46</v>
      </c>
      <c r="N127" t="s">
        <v>932</v>
      </c>
      <c r="O127" s="14">
        <v>13353</v>
      </c>
      <c r="P127" t="s">
        <v>933</v>
      </c>
      <c r="Q127" s="15" t="s">
        <v>848</v>
      </c>
      <c r="R127" s="15" t="s">
        <v>849</v>
      </c>
      <c r="S127" t="s">
        <v>390</v>
      </c>
      <c r="T127" s="9">
        <v>43017</v>
      </c>
      <c r="U127" s="9">
        <v>43024</v>
      </c>
      <c r="V127" s="12">
        <v>434</v>
      </c>
      <c r="W127" s="12">
        <v>35</v>
      </c>
      <c r="X127" s="17">
        <v>0.25</v>
      </c>
      <c r="Y127">
        <v>99.75</v>
      </c>
      <c r="Z127" s="12">
        <v>134.75</v>
      </c>
      <c r="AA127" s="12">
        <v>21.514705882352942</v>
      </c>
      <c r="AB127" s="12">
        <v>264.25</v>
      </c>
      <c r="AF127" s="18">
        <f t="shared" si="1"/>
        <v>0</v>
      </c>
    </row>
    <row r="128" spans="1:32" customFormat="1" x14ac:dyDescent="0.25">
      <c r="A128" t="s">
        <v>38</v>
      </c>
      <c r="B128" t="s">
        <v>72</v>
      </c>
      <c r="C128" t="s">
        <v>392</v>
      </c>
      <c r="D128" s="9">
        <v>43017</v>
      </c>
      <c r="E128" s="9">
        <v>43019</v>
      </c>
      <c r="F128">
        <v>338</v>
      </c>
      <c r="H128">
        <v>30</v>
      </c>
      <c r="I128" t="s">
        <v>393</v>
      </c>
      <c r="J128">
        <v>40013</v>
      </c>
      <c r="K128" t="s">
        <v>38</v>
      </c>
      <c r="L128" t="s">
        <v>999</v>
      </c>
      <c r="M128" t="s">
        <v>999</v>
      </c>
      <c r="N128" t="s">
        <v>1000</v>
      </c>
      <c r="O128" s="14">
        <v>50825</v>
      </c>
      <c r="P128" t="s">
        <v>1001</v>
      </c>
      <c r="Q128" s="15" t="s">
        <v>848</v>
      </c>
      <c r="R128" s="15" t="s">
        <v>849</v>
      </c>
      <c r="S128" t="s">
        <v>392</v>
      </c>
      <c r="T128" s="9">
        <v>43017</v>
      </c>
      <c r="U128" s="9">
        <v>43019</v>
      </c>
      <c r="V128" s="12">
        <v>338</v>
      </c>
      <c r="W128" s="12">
        <v>30</v>
      </c>
      <c r="X128" s="17">
        <v>0.25</v>
      </c>
      <c r="Y128">
        <v>77</v>
      </c>
      <c r="Z128" s="12">
        <v>107</v>
      </c>
      <c r="AA128" s="12">
        <v>17.084033613445378</v>
      </c>
      <c r="AB128" s="12">
        <v>201</v>
      </c>
      <c r="AF128" s="18">
        <f t="shared" si="1"/>
        <v>0</v>
      </c>
    </row>
    <row r="129" spans="1:32" customFormat="1" x14ac:dyDescent="0.25">
      <c r="A129" t="s">
        <v>11</v>
      </c>
      <c r="B129" t="s">
        <v>27</v>
      </c>
      <c r="C129" t="s">
        <v>394</v>
      </c>
      <c r="D129" s="9">
        <v>43017</v>
      </c>
      <c r="E129" s="9">
        <v>43021</v>
      </c>
      <c r="F129">
        <v>465</v>
      </c>
      <c r="H129">
        <v>60</v>
      </c>
      <c r="I129" t="s">
        <v>395</v>
      </c>
      <c r="J129">
        <v>10093</v>
      </c>
      <c r="K129" t="s">
        <v>11</v>
      </c>
      <c r="L129" t="s">
        <v>27</v>
      </c>
      <c r="M129" t="s">
        <v>970</v>
      </c>
      <c r="N129" t="s">
        <v>971</v>
      </c>
      <c r="O129" s="14">
        <v>80469</v>
      </c>
      <c r="P129" t="s">
        <v>972</v>
      </c>
      <c r="Q129" s="15" t="s">
        <v>848</v>
      </c>
      <c r="R129" s="15" t="s">
        <v>849</v>
      </c>
      <c r="S129" t="s">
        <v>394</v>
      </c>
      <c r="T129" s="9">
        <v>43017</v>
      </c>
      <c r="U129" s="9">
        <v>43021</v>
      </c>
      <c r="V129" s="12">
        <v>465</v>
      </c>
      <c r="W129" s="12">
        <v>60</v>
      </c>
      <c r="X129" s="17">
        <v>0.25</v>
      </c>
      <c r="Y129">
        <v>101.25</v>
      </c>
      <c r="Z129" s="12">
        <v>161.25</v>
      </c>
      <c r="AA129" s="12">
        <v>25.745798319327733</v>
      </c>
      <c r="AB129" s="12">
        <v>243.75</v>
      </c>
      <c r="AF129" s="18">
        <f t="shared" si="1"/>
        <v>0</v>
      </c>
    </row>
    <row r="130" spans="1:32" customFormat="1" x14ac:dyDescent="0.25">
      <c r="A130" t="s">
        <v>15</v>
      </c>
      <c r="B130" t="s">
        <v>52</v>
      </c>
      <c r="C130" t="s">
        <v>396</v>
      </c>
      <c r="D130" s="9">
        <v>43017</v>
      </c>
      <c r="E130" s="9">
        <v>43021</v>
      </c>
      <c r="F130">
        <v>218</v>
      </c>
      <c r="G130">
        <v>1</v>
      </c>
      <c r="H130">
        <v>35</v>
      </c>
      <c r="I130" t="s">
        <v>397</v>
      </c>
      <c r="J130">
        <v>30008</v>
      </c>
      <c r="K130" t="s">
        <v>15</v>
      </c>
      <c r="L130" t="s">
        <v>1040</v>
      </c>
      <c r="M130" t="s">
        <v>1041</v>
      </c>
      <c r="N130" t="s">
        <v>1042</v>
      </c>
      <c r="O130" s="14">
        <v>40219</v>
      </c>
      <c r="P130" t="s">
        <v>1043</v>
      </c>
      <c r="Q130" s="15" t="s">
        <v>848</v>
      </c>
      <c r="R130" s="15" t="s">
        <v>849</v>
      </c>
      <c r="S130" t="s">
        <v>396</v>
      </c>
      <c r="T130" s="9">
        <v>43017</v>
      </c>
      <c r="U130" s="9">
        <v>43021</v>
      </c>
      <c r="V130" s="12">
        <v>218</v>
      </c>
      <c r="W130" s="12">
        <v>35</v>
      </c>
      <c r="X130" s="17">
        <v>0.25</v>
      </c>
      <c r="Y130">
        <v>45.75</v>
      </c>
      <c r="Z130" s="12">
        <v>80.75</v>
      </c>
      <c r="AA130" s="12">
        <v>12.892857142857144</v>
      </c>
      <c r="AB130" s="12">
        <v>102.25</v>
      </c>
      <c r="AF130" s="18">
        <f t="shared" si="1"/>
        <v>0</v>
      </c>
    </row>
    <row r="131" spans="1:32" customFormat="1" x14ac:dyDescent="0.25">
      <c r="A131" t="s">
        <v>38</v>
      </c>
      <c r="B131" t="s">
        <v>53</v>
      </c>
      <c r="C131" t="s">
        <v>398</v>
      </c>
      <c r="D131" s="9">
        <v>43017</v>
      </c>
      <c r="E131" s="9">
        <v>43019</v>
      </c>
      <c r="F131">
        <v>379</v>
      </c>
      <c r="G131">
        <v>-1</v>
      </c>
      <c r="H131">
        <v>35</v>
      </c>
      <c r="I131" t="s">
        <v>399</v>
      </c>
      <c r="J131">
        <v>40023</v>
      </c>
      <c r="K131" t="s">
        <v>38</v>
      </c>
      <c r="L131" t="s">
        <v>1016</v>
      </c>
      <c r="M131" t="s">
        <v>1016</v>
      </c>
      <c r="N131" t="s">
        <v>1017</v>
      </c>
      <c r="O131" s="14" t="s">
        <v>1018</v>
      </c>
      <c r="P131" t="s">
        <v>1019</v>
      </c>
      <c r="Q131" s="15" t="s">
        <v>848</v>
      </c>
      <c r="R131" s="15" t="s">
        <v>849</v>
      </c>
      <c r="S131" t="s">
        <v>398</v>
      </c>
      <c r="T131" s="9">
        <v>43017</v>
      </c>
      <c r="U131" s="9">
        <v>43019</v>
      </c>
      <c r="V131" s="12">
        <v>379</v>
      </c>
      <c r="W131" s="12">
        <v>35</v>
      </c>
      <c r="X131" s="17">
        <v>0.2</v>
      </c>
      <c r="Y131">
        <v>68.8</v>
      </c>
      <c r="Z131" s="12">
        <v>103.8</v>
      </c>
      <c r="AA131" s="12">
        <v>16.573109243697481</v>
      </c>
      <c r="AB131" s="12">
        <v>240.2</v>
      </c>
      <c r="AF131" s="18">
        <f t="shared" ref="AF131:AF194" si="2">AE131/119*19</f>
        <v>0</v>
      </c>
    </row>
    <row r="132" spans="1:32" customFormat="1" x14ac:dyDescent="0.25">
      <c r="A132" t="s">
        <v>15</v>
      </c>
      <c r="B132" t="s">
        <v>400</v>
      </c>
      <c r="C132" t="s">
        <v>401</v>
      </c>
      <c r="D132" s="9">
        <v>43017</v>
      </c>
      <c r="E132" s="9">
        <v>43020</v>
      </c>
      <c r="F132">
        <v>335</v>
      </c>
      <c r="H132">
        <v>60</v>
      </c>
      <c r="I132" t="s">
        <v>402</v>
      </c>
      <c r="J132">
        <v>30033</v>
      </c>
      <c r="K132" t="s">
        <v>15</v>
      </c>
      <c r="L132" t="s">
        <v>1044</v>
      </c>
      <c r="M132" t="s">
        <v>400</v>
      </c>
      <c r="N132" t="s">
        <v>1045</v>
      </c>
      <c r="O132" s="14" t="s">
        <v>1046</v>
      </c>
      <c r="P132" t="s">
        <v>1047</v>
      </c>
      <c r="Q132" s="15" t="s">
        <v>849</v>
      </c>
      <c r="R132" s="15" t="s">
        <v>848</v>
      </c>
      <c r="S132" t="s">
        <v>401</v>
      </c>
      <c r="T132" s="9">
        <v>43017</v>
      </c>
      <c r="U132" s="9">
        <v>43020</v>
      </c>
      <c r="V132" s="12">
        <v>335</v>
      </c>
      <c r="W132" s="12">
        <v>60</v>
      </c>
      <c r="X132" s="17">
        <v>0.25</v>
      </c>
      <c r="Y132">
        <v>68.75</v>
      </c>
      <c r="Z132" s="12">
        <v>128.75</v>
      </c>
      <c r="AA132" s="12">
        <v>20.556722689075627</v>
      </c>
      <c r="AB132" s="12">
        <v>146.25</v>
      </c>
      <c r="AF132" s="18">
        <f t="shared" si="2"/>
        <v>0</v>
      </c>
    </row>
    <row r="133" spans="1:32" customFormat="1" x14ac:dyDescent="0.25">
      <c r="A133" t="s">
        <v>9</v>
      </c>
      <c r="B133" t="s">
        <v>28</v>
      </c>
      <c r="C133" t="s">
        <v>403</v>
      </c>
      <c r="D133" s="9">
        <v>43017</v>
      </c>
      <c r="E133" s="9">
        <v>43019</v>
      </c>
      <c r="F133">
        <v>201</v>
      </c>
      <c r="H133">
        <v>30</v>
      </c>
      <c r="I133" t="s">
        <v>404</v>
      </c>
      <c r="J133">
        <v>20028</v>
      </c>
      <c r="K133" t="s">
        <v>9</v>
      </c>
      <c r="L133" t="s">
        <v>28</v>
      </c>
      <c r="M133" t="s">
        <v>28</v>
      </c>
      <c r="N133" t="s">
        <v>895</v>
      </c>
      <c r="O133" s="14">
        <v>60313</v>
      </c>
      <c r="P133" t="s">
        <v>896</v>
      </c>
      <c r="Q133" s="15" t="s">
        <v>848</v>
      </c>
      <c r="R133" s="15" t="s">
        <v>849</v>
      </c>
      <c r="S133" t="s">
        <v>403</v>
      </c>
      <c r="T133" s="9">
        <v>43017</v>
      </c>
      <c r="U133" s="9">
        <v>43019</v>
      </c>
      <c r="V133" s="12">
        <v>201</v>
      </c>
      <c r="W133" s="12">
        <v>30</v>
      </c>
      <c r="X133" s="17">
        <v>0.25</v>
      </c>
      <c r="Y133">
        <v>42.75</v>
      </c>
      <c r="Z133" s="12">
        <v>72.75</v>
      </c>
      <c r="AA133" s="12">
        <v>11.615546218487395</v>
      </c>
      <c r="AB133" s="12">
        <v>98.25</v>
      </c>
      <c r="AF133" s="18">
        <f t="shared" si="2"/>
        <v>0</v>
      </c>
    </row>
    <row r="134" spans="1:32" customFormat="1" x14ac:dyDescent="0.25">
      <c r="A134" t="s">
        <v>15</v>
      </c>
      <c r="B134" t="s">
        <v>57</v>
      </c>
      <c r="C134" t="s">
        <v>405</v>
      </c>
      <c r="D134" s="9">
        <v>43017</v>
      </c>
      <c r="E134" s="9">
        <v>43021</v>
      </c>
      <c r="F134">
        <v>353</v>
      </c>
      <c r="H134">
        <v>35</v>
      </c>
      <c r="I134" t="s">
        <v>406</v>
      </c>
      <c r="J134">
        <v>30014</v>
      </c>
      <c r="K134" t="s">
        <v>15</v>
      </c>
      <c r="L134" t="s">
        <v>57</v>
      </c>
      <c r="M134" t="s">
        <v>57</v>
      </c>
      <c r="N134" t="s">
        <v>1048</v>
      </c>
      <c r="O134" s="14">
        <v>40477</v>
      </c>
      <c r="P134" t="s">
        <v>1049</v>
      </c>
      <c r="Q134" s="15" t="s">
        <v>849</v>
      </c>
      <c r="R134" s="15" t="s">
        <v>848</v>
      </c>
      <c r="S134" t="s">
        <v>405</v>
      </c>
      <c r="T134" s="9">
        <v>43017</v>
      </c>
      <c r="U134" s="9">
        <v>43021</v>
      </c>
      <c r="V134" s="12">
        <v>353</v>
      </c>
      <c r="W134" s="12">
        <v>35</v>
      </c>
      <c r="X134" s="17">
        <v>0.25</v>
      </c>
      <c r="Y134">
        <v>79.5</v>
      </c>
      <c r="Z134" s="12">
        <v>114.5</v>
      </c>
      <c r="AA134" s="12">
        <v>18.281512605042018</v>
      </c>
      <c r="AB134" s="12">
        <v>203.5</v>
      </c>
      <c r="AF134" s="18">
        <f t="shared" si="2"/>
        <v>0</v>
      </c>
    </row>
    <row r="135" spans="1:32" customFormat="1" x14ac:dyDescent="0.25">
      <c r="A135" t="s">
        <v>11</v>
      </c>
      <c r="B135" t="s">
        <v>58</v>
      </c>
      <c r="C135" t="s">
        <v>407</v>
      </c>
      <c r="D135" s="9">
        <v>43017</v>
      </c>
      <c r="E135" s="9">
        <v>43021</v>
      </c>
      <c r="F135">
        <v>488</v>
      </c>
      <c r="H135">
        <v>50</v>
      </c>
      <c r="I135" t="s">
        <v>408</v>
      </c>
      <c r="J135">
        <v>10043</v>
      </c>
      <c r="K135" t="s">
        <v>11</v>
      </c>
      <c r="L135" t="s">
        <v>973</v>
      </c>
      <c r="M135" t="s">
        <v>973</v>
      </c>
      <c r="N135" t="s">
        <v>974</v>
      </c>
      <c r="O135" s="14">
        <v>80469</v>
      </c>
      <c r="P135" t="s">
        <v>975</v>
      </c>
      <c r="Q135" s="15" t="s">
        <v>849</v>
      </c>
      <c r="R135" s="15" t="s">
        <v>848</v>
      </c>
      <c r="S135" t="s">
        <v>407</v>
      </c>
      <c r="T135" s="9">
        <v>43017</v>
      </c>
      <c r="U135" s="9">
        <v>43021</v>
      </c>
      <c r="V135" s="12">
        <v>488</v>
      </c>
      <c r="W135" s="12">
        <v>50</v>
      </c>
      <c r="X135" s="17">
        <v>0.2</v>
      </c>
      <c r="Y135">
        <v>87.600000000000009</v>
      </c>
      <c r="Z135" s="12">
        <v>137.60000000000002</v>
      </c>
      <c r="AA135" s="12">
        <v>21.969747899159668</v>
      </c>
      <c r="AB135" s="12">
        <v>300.39999999999998</v>
      </c>
      <c r="AF135" s="18">
        <f t="shared" si="2"/>
        <v>0</v>
      </c>
    </row>
    <row r="136" spans="1:32" customFormat="1" x14ac:dyDescent="0.25">
      <c r="A136" t="s">
        <v>9</v>
      </c>
      <c r="B136" t="s">
        <v>409</v>
      </c>
      <c r="C136" t="s">
        <v>410</v>
      </c>
      <c r="D136" s="9">
        <v>43017</v>
      </c>
      <c r="E136" s="9">
        <v>43019</v>
      </c>
      <c r="F136">
        <v>210</v>
      </c>
      <c r="H136">
        <v>50</v>
      </c>
      <c r="I136" t="s">
        <v>411</v>
      </c>
      <c r="J136">
        <v>20037</v>
      </c>
      <c r="K136" t="s">
        <v>9</v>
      </c>
      <c r="L136" t="s">
        <v>409</v>
      </c>
      <c r="M136" t="s">
        <v>409</v>
      </c>
      <c r="N136" t="s">
        <v>1050</v>
      </c>
      <c r="O136" s="14">
        <v>13353</v>
      </c>
      <c r="P136" t="s">
        <v>1051</v>
      </c>
      <c r="Q136" s="15" t="s">
        <v>848</v>
      </c>
      <c r="R136" s="15" t="s">
        <v>849</v>
      </c>
      <c r="S136" t="s">
        <v>410</v>
      </c>
      <c r="T136" s="9">
        <v>43017</v>
      </c>
      <c r="U136" s="9">
        <v>43019</v>
      </c>
      <c r="V136" s="12">
        <v>210</v>
      </c>
      <c r="W136" s="12">
        <v>50</v>
      </c>
      <c r="X136" s="17">
        <v>0.25</v>
      </c>
      <c r="Y136">
        <v>40</v>
      </c>
      <c r="Z136" s="12">
        <v>90</v>
      </c>
      <c r="AA136" s="12">
        <v>14.369747899159663</v>
      </c>
      <c r="AB136" s="12">
        <v>70</v>
      </c>
      <c r="AF136" s="18">
        <f t="shared" si="2"/>
        <v>0</v>
      </c>
    </row>
    <row r="137" spans="1:32" customFormat="1" x14ac:dyDescent="0.25">
      <c r="A137" t="s">
        <v>12</v>
      </c>
      <c r="B137" t="s">
        <v>13</v>
      </c>
      <c r="C137" t="s">
        <v>412</v>
      </c>
      <c r="D137" s="9">
        <v>43017</v>
      </c>
      <c r="E137" s="9">
        <v>43019</v>
      </c>
      <c r="F137">
        <v>151</v>
      </c>
      <c r="G137">
        <v>1</v>
      </c>
      <c r="H137">
        <v>35</v>
      </c>
      <c r="I137" t="s">
        <v>413</v>
      </c>
      <c r="J137">
        <v>50014</v>
      </c>
      <c r="K137" t="s">
        <v>12</v>
      </c>
      <c r="L137" t="s">
        <v>950</v>
      </c>
      <c r="M137" t="s">
        <v>950</v>
      </c>
      <c r="N137" t="s">
        <v>951</v>
      </c>
      <c r="O137" s="14">
        <v>22767</v>
      </c>
      <c r="P137" t="s">
        <v>952</v>
      </c>
      <c r="Q137" s="15" t="s">
        <v>848</v>
      </c>
      <c r="R137" s="15" t="s">
        <v>849</v>
      </c>
      <c r="S137" t="s">
        <v>412</v>
      </c>
      <c r="T137" s="9">
        <v>43017</v>
      </c>
      <c r="U137" s="9">
        <v>43019</v>
      </c>
      <c r="V137" s="12">
        <v>151</v>
      </c>
      <c r="W137" s="12">
        <v>35</v>
      </c>
      <c r="X137" s="17">
        <v>0.25</v>
      </c>
      <c r="Y137">
        <v>29</v>
      </c>
      <c r="Z137" s="12">
        <v>64</v>
      </c>
      <c r="AA137" s="12">
        <v>10.218487394957982</v>
      </c>
      <c r="AB137" s="12">
        <v>52</v>
      </c>
      <c r="AF137" s="18">
        <f t="shared" si="2"/>
        <v>0</v>
      </c>
    </row>
    <row r="138" spans="1:32" customFormat="1" x14ac:dyDescent="0.25">
      <c r="A138" t="s">
        <v>18</v>
      </c>
      <c r="B138" t="s">
        <v>317</v>
      </c>
      <c r="C138" t="s">
        <v>414</v>
      </c>
      <c r="D138" s="9">
        <v>43017</v>
      </c>
      <c r="E138" s="9">
        <v>43023</v>
      </c>
      <c r="F138">
        <v>569</v>
      </c>
      <c r="G138">
        <v>1</v>
      </c>
      <c r="H138">
        <v>45</v>
      </c>
      <c r="I138" t="s">
        <v>415</v>
      </c>
      <c r="J138">
        <v>60034</v>
      </c>
      <c r="K138" t="s">
        <v>18</v>
      </c>
      <c r="L138" t="s">
        <v>317</v>
      </c>
      <c r="M138" t="s">
        <v>317</v>
      </c>
      <c r="N138" t="s">
        <v>1006</v>
      </c>
      <c r="O138" s="14">
        <v>10119</v>
      </c>
      <c r="P138" t="s">
        <v>1007</v>
      </c>
      <c r="Q138" s="15" t="s">
        <v>848</v>
      </c>
      <c r="R138" s="15" t="s">
        <v>849</v>
      </c>
      <c r="S138" t="s">
        <v>414</v>
      </c>
      <c r="T138" s="9">
        <v>43017</v>
      </c>
      <c r="U138" s="9">
        <v>43023</v>
      </c>
      <c r="V138" s="12">
        <v>569</v>
      </c>
      <c r="W138" s="12">
        <v>45</v>
      </c>
      <c r="X138" s="17">
        <v>0.25</v>
      </c>
      <c r="Y138">
        <v>131</v>
      </c>
      <c r="Z138" s="12">
        <v>176</v>
      </c>
      <c r="AA138" s="12">
        <v>28.100840336134453</v>
      </c>
      <c r="AB138" s="12">
        <v>348</v>
      </c>
      <c r="AF138" s="18">
        <f t="shared" si="2"/>
        <v>0</v>
      </c>
    </row>
    <row r="139" spans="1:32" customFormat="1" x14ac:dyDescent="0.25">
      <c r="A139" t="s">
        <v>15</v>
      </c>
      <c r="B139" t="s">
        <v>19</v>
      </c>
      <c r="C139" t="s">
        <v>416</v>
      </c>
      <c r="D139" s="9">
        <v>43017</v>
      </c>
      <c r="E139" s="9">
        <v>43019</v>
      </c>
      <c r="F139">
        <v>346</v>
      </c>
      <c r="H139">
        <v>35</v>
      </c>
      <c r="I139" t="s">
        <v>417</v>
      </c>
      <c r="J139">
        <v>30019</v>
      </c>
      <c r="K139" t="s">
        <v>15</v>
      </c>
      <c r="L139" t="s">
        <v>927</v>
      </c>
      <c r="M139" t="s">
        <v>927</v>
      </c>
      <c r="N139" t="s">
        <v>928</v>
      </c>
      <c r="O139" s="14">
        <v>40476</v>
      </c>
      <c r="P139" t="s">
        <v>929</v>
      </c>
      <c r="Q139" s="15" t="s">
        <v>848</v>
      </c>
      <c r="R139" s="15" t="s">
        <v>849</v>
      </c>
      <c r="S139" t="s">
        <v>416</v>
      </c>
      <c r="T139" s="9">
        <v>43017</v>
      </c>
      <c r="U139" s="9">
        <v>43019</v>
      </c>
      <c r="V139" s="12">
        <v>346</v>
      </c>
      <c r="W139" s="12">
        <v>35</v>
      </c>
      <c r="X139" s="17">
        <v>0.25</v>
      </c>
      <c r="Y139">
        <v>77.75</v>
      </c>
      <c r="Z139" s="12">
        <v>112.75</v>
      </c>
      <c r="AA139" s="12">
        <v>18.002100840336134</v>
      </c>
      <c r="AB139" s="12">
        <v>198.25</v>
      </c>
      <c r="AF139" s="18">
        <f t="shared" si="2"/>
        <v>0</v>
      </c>
    </row>
    <row r="140" spans="1:32" customFormat="1" x14ac:dyDescent="0.25">
      <c r="A140" t="s">
        <v>18</v>
      </c>
      <c r="B140" t="s">
        <v>418</v>
      </c>
      <c r="C140" t="s">
        <v>419</v>
      </c>
      <c r="D140" s="9">
        <v>43017</v>
      </c>
      <c r="E140" s="9">
        <v>43019</v>
      </c>
      <c r="F140">
        <v>130</v>
      </c>
      <c r="G140">
        <v>-1</v>
      </c>
      <c r="H140">
        <v>45</v>
      </c>
      <c r="I140" t="s">
        <v>420</v>
      </c>
      <c r="J140">
        <v>60026</v>
      </c>
      <c r="K140" t="s">
        <v>18</v>
      </c>
      <c r="L140" t="s">
        <v>418</v>
      </c>
      <c r="M140" t="s">
        <v>418</v>
      </c>
      <c r="N140" t="s">
        <v>1052</v>
      </c>
      <c r="O140" s="14">
        <v>10437</v>
      </c>
      <c r="P140" t="s">
        <v>1053</v>
      </c>
      <c r="Q140" s="15" t="s">
        <v>848</v>
      </c>
      <c r="R140" s="15" t="s">
        <v>849</v>
      </c>
      <c r="S140" t="s">
        <v>419</v>
      </c>
      <c r="T140" s="9">
        <v>43017</v>
      </c>
      <c r="U140" s="9">
        <v>43019</v>
      </c>
      <c r="V140" s="12">
        <v>130</v>
      </c>
      <c r="W140" s="12">
        <v>45</v>
      </c>
      <c r="X140" s="17">
        <v>0.25</v>
      </c>
      <c r="Y140">
        <v>21.25</v>
      </c>
      <c r="Z140" s="12">
        <v>66.25</v>
      </c>
      <c r="AA140" s="12">
        <v>10.577731092436975</v>
      </c>
      <c r="AB140" s="12">
        <v>18.75</v>
      </c>
      <c r="AF140" s="18">
        <f t="shared" si="2"/>
        <v>0</v>
      </c>
    </row>
    <row r="141" spans="1:32" customFormat="1" x14ac:dyDescent="0.25">
      <c r="A141" t="s">
        <v>15</v>
      </c>
      <c r="B141" t="s">
        <v>421</v>
      </c>
      <c r="C141" t="s">
        <v>422</v>
      </c>
      <c r="D141" s="9">
        <v>43017</v>
      </c>
      <c r="E141" s="9">
        <v>43020</v>
      </c>
      <c r="F141">
        <v>293</v>
      </c>
      <c r="G141">
        <v>1</v>
      </c>
      <c r="H141">
        <v>30</v>
      </c>
      <c r="I141" t="s">
        <v>423</v>
      </c>
      <c r="J141">
        <v>30001</v>
      </c>
      <c r="K141" t="s">
        <v>15</v>
      </c>
      <c r="L141" t="s">
        <v>421</v>
      </c>
      <c r="M141" t="s">
        <v>421</v>
      </c>
      <c r="N141" t="s">
        <v>1054</v>
      </c>
      <c r="O141" s="14">
        <v>40235</v>
      </c>
      <c r="P141" t="s">
        <v>1055</v>
      </c>
      <c r="Q141" s="15" t="s">
        <v>849</v>
      </c>
      <c r="R141" s="15" t="s">
        <v>848</v>
      </c>
      <c r="S141" t="s">
        <v>422</v>
      </c>
      <c r="T141" s="9">
        <v>43017</v>
      </c>
      <c r="U141" s="9">
        <v>43020</v>
      </c>
      <c r="V141" s="12">
        <v>293</v>
      </c>
      <c r="W141" s="12">
        <v>30</v>
      </c>
      <c r="X141" s="17">
        <v>0.25</v>
      </c>
      <c r="Y141">
        <v>65.75</v>
      </c>
      <c r="Z141" s="12">
        <v>95.75</v>
      </c>
      <c r="AA141" s="12">
        <v>15.28781512605042</v>
      </c>
      <c r="AB141" s="12">
        <v>167.25</v>
      </c>
      <c r="AF141" s="18">
        <f t="shared" si="2"/>
        <v>0</v>
      </c>
    </row>
    <row r="142" spans="1:32" customFormat="1" x14ac:dyDescent="0.25">
      <c r="A142" t="s">
        <v>11</v>
      </c>
      <c r="B142" t="s">
        <v>424</v>
      </c>
      <c r="C142" t="s">
        <v>425</v>
      </c>
      <c r="D142" s="9">
        <v>43017</v>
      </c>
      <c r="E142" s="9">
        <v>43021</v>
      </c>
      <c r="F142">
        <v>338</v>
      </c>
      <c r="G142">
        <v>1</v>
      </c>
      <c r="H142">
        <v>35</v>
      </c>
      <c r="I142" t="s">
        <v>426</v>
      </c>
      <c r="J142">
        <v>10107</v>
      </c>
      <c r="K142" t="s">
        <v>11</v>
      </c>
      <c r="L142" t="s">
        <v>424</v>
      </c>
      <c r="M142" t="s">
        <v>424</v>
      </c>
      <c r="N142" t="s">
        <v>1056</v>
      </c>
      <c r="O142" s="14">
        <v>81677</v>
      </c>
      <c r="P142" t="s">
        <v>1057</v>
      </c>
      <c r="Q142" s="15" t="s">
        <v>848</v>
      </c>
      <c r="R142" s="15" t="s">
        <v>849</v>
      </c>
      <c r="S142" t="s">
        <v>425</v>
      </c>
      <c r="T142" s="9">
        <v>43017</v>
      </c>
      <c r="U142" s="9">
        <v>43021</v>
      </c>
      <c r="V142" s="12">
        <v>338</v>
      </c>
      <c r="W142" s="12">
        <v>35</v>
      </c>
      <c r="X142" s="17">
        <v>0.25</v>
      </c>
      <c r="Y142">
        <v>75.75</v>
      </c>
      <c r="Z142" s="12">
        <v>110.75</v>
      </c>
      <c r="AA142" s="12">
        <v>17.682773109243698</v>
      </c>
      <c r="AB142" s="12">
        <v>192.25</v>
      </c>
      <c r="AF142" s="18">
        <f t="shared" si="2"/>
        <v>0</v>
      </c>
    </row>
    <row r="143" spans="1:32" customFormat="1" x14ac:dyDescent="0.25">
      <c r="A143" t="s">
        <v>11</v>
      </c>
      <c r="B143" t="s">
        <v>161</v>
      </c>
      <c r="C143" t="s">
        <v>22</v>
      </c>
      <c r="D143" s="9">
        <v>43017</v>
      </c>
      <c r="E143" s="9">
        <v>43021</v>
      </c>
      <c r="F143">
        <v>332</v>
      </c>
      <c r="H143">
        <v>35</v>
      </c>
      <c r="I143" t="s">
        <v>427</v>
      </c>
      <c r="J143">
        <v>10075</v>
      </c>
      <c r="K143" t="s">
        <v>11</v>
      </c>
      <c r="L143" t="s">
        <v>161</v>
      </c>
      <c r="M143" t="s">
        <v>161</v>
      </c>
      <c r="N143" t="s">
        <v>909</v>
      </c>
      <c r="O143" s="14" t="s">
        <v>910</v>
      </c>
      <c r="P143" t="s">
        <v>911</v>
      </c>
      <c r="Q143" s="15" t="s">
        <v>848</v>
      </c>
      <c r="R143" s="15" t="s">
        <v>849</v>
      </c>
      <c r="S143" t="s">
        <v>22</v>
      </c>
      <c r="T143" s="9">
        <v>43017</v>
      </c>
      <c r="U143" s="9">
        <v>43021</v>
      </c>
      <c r="V143" s="12">
        <v>332</v>
      </c>
      <c r="W143" s="12">
        <v>35</v>
      </c>
      <c r="X143" s="17">
        <v>0.25</v>
      </c>
      <c r="Y143">
        <v>74.25</v>
      </c>
      <c r="Z143" s="12">
        <v>109.25</v>
      </c>
      <c r="AA143" s="12">
        <v>17.443277310924369</v>
      </c>
      <c r="AB143" s="12">
        <v>187.75</v>
      </c>
      <c r="AF143" s="18">
        <f t="shared" si="2"/>
        <v>0</v>
      </c>
    </row>
    <row r="144" spans="1:32" customFormat="1" x14ac:dyDescent="0.25">
      <c r="A144" t="s">
        <v>38</v>
      </c>
      <c r="B144" t="s">
        <v>428</v>
      </c>
      <c r="C144" t="s">
        <v>429</v>
      </c>
      <c r="D144" s="9">
        <v>43017</v>
      </c>
      <c r="E144" s="9">
        <v>43019</v>
      </c>
      <c r="F144">
        <v>257</v>
      </c>
      <c r="H144">
        <v>30</v>
      </c>
      <c r="I144" t="s">
        <v>430</v>
      </c>
      <c r="J144">
        <v>40022</v>
      </c>
      <c r="K144" t="s">
        <v>38</v>
      </c>
      <c r="L144" t="s">
        <v>1058</v>
      </c>
      <c r="M144" t="s">
        <v>1058</v>
      </c>
      <c r="N144" t="s">
        <v>1059</v>
      </c>
      <c r="O144" s="14" t="s">
        <v>1060</v>
      </c>
      <c r="P144" t="s">
        <v>1061</v>
      </c>
      <c r="Q144" s="15" t="s">
        <v>848</v>
      </c>
      <c r="R144" s="15" t="s">
        <v>849</v>
      </c>
      <c r="S144" t="s">
        <v>429</v>
      </c>
      <c r="T144" s="9">
        <v>43017</v>
      </c>
      <c r="U144" s="9">
        <v>43019</v>
      </c>
      <c r="V144" s="12">
        <v>257</v>
      </c>
      <c r="W144" s="12">
        <v>30</v>
      </c>
      <c r="X144" s="17">
        <v>0.25</v>
      </c>
      <c r="Y144">
        <v>56.75</v>
      </c>
      <c r="Z144" s="12">
        <v>86.75</v>
      </c>
      <c r="AA144" s="12">
        <v>13.850840336134453</v>
      </c>
      <c r="AB144" s="12">
        <v>140.25</v>
      </c>
      <c r="AF144" s="18">
        <f t="shared" si="2"/>
        <v>0</v>
      </c>
    </row>
    <row r="145" spans="1:32" customFormat="1" x14ac:dyDescent="0.25">
      <c r="A145" t="s">
        <v>11</v>
      </c>
      <c r="B145" t="s">
        <v>75</v>
      </c>
      <c r="C145" t="s">
        <v>431</v>
      </c>
      <c r="D145" s="9">
        <v>43017</v>
      </c>
      <c r="E145" s="9">
        <v>43019</v>
      </c>
      <c r="F145">
        <v>173</v>
      </c>
      <c r="H145">
        <v>39</v>
      </c>
      <c r="I145" t="s">
        <v>432</v>
      </c>
      <c r="J145">
        <v>10025</v>
      </c>
      <c r="K145" t="s">
        <v>11</v>
      </c>
      <c r="L145" t="s">
        <v>75</v>
      </c>
      <c r="M145" t="s">
        <v>75</v>
      </c>
      <c r="N145" t="s">
        <v>1062</v>
      </c>
      <c r="O145" s="14">
        <v>80687</v>
      </c>
      <c r="P145" t="s">
        <v>1063</v>
      </c>
      <c r="Q145" s="15" t="s">
        <v>848</v>
      </c>
      <c r="R145" s="15" t="s">
        <v>849</v>
      </c>
      <c r="S145" t="s">
        <v>431</v>
      </c>
      <c r="T145" s="9">
        <v>43017</v>
      </c>
      <c r="U145" s="9">
        <v>43019</v>
      </c>
      <c r="V145" s="12">
        <v>173</v>
      </c>
      <c r="W145" s="12">
        <v>39</v>
      </c>
      <c r="X145" s="17">
        <v>0.25</v>
      </c>
      <c r="Y145">
        <v>33.5</v>
      </c>
      <c r="Z145" s="12">
        <v>72.5</v>
      </c>
      <c r="AA145" s="12">
        <v>11.57563025210084</v>
      </c>
      <c r="AB145" s="12">
        <v>61.5</v>
      </c>
      <c r="AF145" s="18">
        <f t="shared" si="2"/>
        <v>0</v>
      </c>
    </row>
    <row r="146" spans="1:32" customFormat="1" x14ac:dyDescent="0.25">
      <c r="A146" t="s">
        <v>9</v>
      </c>
      <c r="B146" t="s">
        <v>35</v>
      </c>
      <c r="C146" t="s">
        <v>433</v>
      </c>
      <c r="D146" s="9">
        <v>43018</v>
      </c>
      <c r="E146" s="9">
        <v>43023</v>
      </c>
      <c r="F146">
        <v>508</v>
      </c>
      <c r="H146">
        <v>39</v>
      </c>
      <c r="I146" t="s">
        <v>434</v>
      </c>
      <c r="J146">
        <v>20011</v>
      </c>
      <c r="K146" t="s">
        <v>9</v>
      </c>
      <c r="L146" t="s">
        <v>35</v>
      </c>
      <c r="M146" t="s">
        <v>1064</v>
      </c>
      <c r="N146" t="s">
        <v>1065</v>
      </c>
      <c r="O146" s="14">
        <v>60322</v>
      </c>
      <c r="P146" t="s">
        <v>1066</v>
      </c>
      <c r="Q146" s="15" t="s">
        <v>848</v>
      </c>
      <c r="R146" s="15" t="s">
        <v>849</v>
      </c>
      <c r="S146" t="s">
        <v>433</v>
      </c>
      <c r="T146" s="9">
        <v>43018</v>
      </c>
      <c r="U146" s="9">
        <v>43023</v>
      </c>
      <c r="V146" s="12">
        <v>508</v>
      </c>
      <c r="W146" s="12">
        <v>39</v>
      </c>
      <c r="X146" s="17">
        <v>0.25</v>
      </c>
      <c r="Y146">
        <v>117.25</v>
      </c>
      <c r="Z146" s="12">
        <v>156.25</v>
      </c>
      <c r="AA146" s="12">
        <v>24.94747899159664</v>
      </c>
      <c r="AB146" s="12">
        <v>312.75</v>
      </c>
      <c r="AF146" s="18">
        <f t="shared" si="2"/>
        <v>0</v>
      </c>
    </row>
    <row r="147" spans="1:32" customFormat="1" x14ac:dyDescent="0.25">
      <c r="A147" t="s">
        <v>15</v>
      </c>
      <c r="B147" t="s">
        <v>25</v>
      </c>
      <c r="C147" t="s">
        <v>435</v>
      </c>
      <c r="D147" s="9">
        <v>43018</v>
      </c>
      <c r="E147" s="9">
        <v>43024</v>
      </c>
      <c r="F147">
        <v>715</v>
      </c>
      <c r="H147">
        <v>45</v>
      </c>
      <c r="I147" t="s">
        <v>436</v>
      </c>
      <c r="J147">
        <v>30023</v>
      </c>
      <c r="K147" t="s">
        <v>15</v>
      </c>
      <c r="L147" t="s">
        <v>892</v>
      </c>
      <c r="M147" t="s">
        <v>892</v>
      </c>
      <c r="N147" t="s">
        <v>893</v>
      </c>
      <c r="O147" s="14">
        <v>40225</v>
      </c>
      <c r="P147" t="s">
        <v>894</v>
      </c>
      <c r="Q147" s="15" t="s">
        <v>848</v>
      </c>
      <c r="R147" s="15" t="s">
        <v>849</v>
      </c>
      <c r="S147" t="s">
        <v>435</v>
      </c>
      <c r="T147" s="9">
        <v>43018</v>
      </c>
      <c r="U147" s="9">
        <v>43024</v>
      </c>
      <c r="V147" s="12">
        <v>715</v>
      </c>
      <c r="W147" s="12">
        <v>45</v>
      </c>
      <c r="X147" s="17">
        <v>0.2</v>
      </c>
      <c r="Y147">
        <v>134</v>
      </c>
      <c r="Z147" s="12">
        <v>179</v>
      </c>
      <c r="AA147" s="12">
        <v>28.579831932773111</v>
      </c>
      <c r="AB147" s="12">
        <v>491</v>
      </c>
      <c r="AF147" s="18">
        <f t="shared" si="2"/>
        <v>0</v>
      </c>
    </row>
    <row r="148" spans="1:32" customFormat="1" x14ac:dyDescent="0.25">
      <c r="A148" t="s">
        <v>9</v>
      </c>
      <c r="B148" t="s">
        <v>67</v>
      </c>
      <c r="C148" t="s">
        <v>437</v>
      </c>
      <c r="D148" s="9">
        <v>43018</v>
      </c>
      <c r="E148" s="9">
        <v>43020</v>
      </c>
      <c r="F148">
        <v>231</v>
      </c>
      <c r="G148">
        <v>1</v>
      </c>
      <c r="H148">
        <v>50</v>
      </c>
      <c r="I148" t="s">
        <v>438</v>
      </c>
      <c r="J148">
        <v>20032</v>
      </c>
      <c r="K148" t="s">
        <v>9</v>
      </c>
      <c r="L148" t="s">
        <v>1067</v>
      </c>
      <c r="M148" t="s">
        <v>1067</v>
      </c>
      <c r="N148" t="s">
        <v>1068</v>
      </c>
      <c r="O148" s="14">
        <v>60325</v>
      </c>
      <c r="P148" t="s">
        <v>1069</v>
      </c>
      <c r="Q148" s="15" t="s">
        <v>849</v>
      </c>
      <c r="R148" s="15" t="s">
        <v>848</v>
      </c>
      <c r="S148" t="s">
        <v>437</v>
      </c>
      <c r="T148" s="9">
        <v>43018</v>
      </c>
      <c r="U148" s="9">
        <v>43020</v>
      </c>
      <c r="V148" s="12">
        <v>231</v>
      </c>
      <c r="W148" s="12">
        <v>50</v>
      </c>
      <c r="X148" s="17">
        <v>0.23</v>
      </c>
      <c r="Y148">
        <v>41.63</v>
      </c>
      <c r="Z148" s="12">
        <v>91.63</v>
      </c>
      <c r="AA148" s="12">
        <v>14.629999999999999</v>
      </c>
      <c r="AB148" s="12">
        <v>89.37</v>
      </c>
      <c r="AF148" s="18">
        <f t="shared" si="2"/>
        <v>0</v>
      </c>
    </row>
    <row r="149" spans="1:32" customFormat="1" x14ac:dyDescent="0.25">
      <c r="A149" t="s">
        <v>11</v>
      </c>
      <c r="B149" t="s">
        <v>40</v>
      </c>
      <c r="C149" t="s">
        <v>439</v>
      </c>
      <c r="D149" s="9">
        <v>43018</v>
      </c>
      <c r="E149" s="9">
        <v>43022</v>
      </c>
      <c r="F149">
        <v>475</v>
      </c>
      <c r="G149">
        <v>1</v>
      </c>
      <c r="H149">
        <v>35</v>
      </c>
      <c r="I149" t="s">
        <v>440</v>
      </c>
      <c r="J149">
        <v>10018</v>
      </c>
      <c r="K149" t="s">
        <v>11</v>
      </c>
      <c r="L149" t="s">
        <v>944</v>
      </c>
      <c r="M149" t="s">
        <v>944</v>
      </c>
      <c r="N149" t="s">
        <v>945</v>
      </c>
      <c r="O149" s="14">
        <v>80803</v>
      </c>
      <c r="P149" t="s">
        <v>946</v>
      </c>
      <c r="Q149" s="15" t="s">
        <v>849</v>
      </c>
      <c r="R149" s="15" t="s">
        <v>848</v>
      </c>
      <c r="S149" t="s">
        <v>439</v>
      </c>
      <c r="T149" s="9">
        <v>43018</v>
      </c>
      <c r="U149" s="9">
        <v>43022</v>
      </c>
      <c r="V149" s="12">
        <v>475</v>
      </c>
      <c r="W149" s="12">
        <v>35</v>
      </c>
      <c r="X149" s="17">
        <v>0.25</v>
      </c>
      <c r="Y149">
        <v>110</v>
      </c>
      <c r="Z149" s="12">
        <v>145</v>
      </c>
      <c r="AA149" s="12">
        <v>23.15126050420168</v>
      </c>
      <c r="AB149" s="12">
        <v>295</v>
      </c>
      <c r="AF149" s="18">
        <f t="shared" si="2"/>
        <v>0</v>
      </c>
    </row>
    <row r="150" spans="1:32" customFormat="1" x14ac:dyDescent="0.25">
      <c r="A150" t="s">
        <v>11</v>
      </c>
      <c r="B150" t="s">
        <v>263</v>
      </c>
      <c r="C150" t="s">
        <v>441</v>
      </c>
      <c r="D150" s="9">
        <v>43018</v>
      </c>
      <c r="E150" s="9">
        <v>43022</v>
      </c>
      <c r="F150">
        <v>372</v>
      </c>
      <c r="H150">
        <v>40</v>
      </c>
      <c r="I150" t="s">
        <v>442</v>
      </c>
      <c r="J150">
        <v>10104</v>
      </c>
      <c r="K150" t="s">
        <v>11</v>
      </c>
      <c r="L150" t="s">
        <v>263</v>
      </c>
      <c r="M150" t="s">
        <v>263</v>
      </c>
      <c r="N150" t="s">
        <v>978</v>
      </c>
      <c r="O150" s="14">
        <v>81539</v>
      </c>
      <c r="P150" t="s">
        <v>979</v>
      </c>
      <c r="Q150" s="15" t="s">
        <v>848</v>
      </c>
      <c r="R150" s="15" t="s">
        <v>849</v>
      </c>
      <c r="S150" t="s">
        <v>441</v>
      </c>
      <c r="T150" s="9">
        <v>43018</v>
      </c>
      <c r="U150" s="9">
        <v>43022</v>
      </c>
      <c r="V150" s="12">
        <v>372</v>
      </c>
      <c r="W150" s="12">
        <v>40</v>
      </c>
      <c r="X150" s="17">
        <v>0.25</v>
      </c>
      <c r="Y150">
        <v>83</v>
      </c>
      <c r="Z150" s="12">
        <v>123</v>
      </c>
      <c r="AA150" s="12">
        <v>19.638655462184875</v>
      </c>
      <c r="AB150" s="12">
        <v>209</v>
      </c>
      <c r="AF150" s="18">
        <f t="shared" si="2"/>
        <v>0</v>
      </c>
    </row>
    <row r="151" spans="1:32" customFormat="1" x14ac:dyDescent="0.25">
      <c r="A151" t="s">
        <v>15</v>
      </c>
      <c r="B151" t="s">
        <v>73</v>
      </c>
      <c r="C151" t="s">
        <v>443</v>
      </c>
      <c r="D151" s="9">
        <v>43018</v>
      </c>
      <c r="E151" s="9">
        <v>43020</v>
      </c>
      <c r="F151">
        <v>375</v>
      </c>
      <c r="H151">
        <v>65</v>
      </c>
      <c r="I151" t="s">
        <v>444</v>
      </c>
      <c r="J151">
        <v>30015</v>
      </c>
      <c r="K151" t="s">
        <v>15</v>
      </c>
      <c r="L151" t="s">
        <v>73</v>
      </c>
      <c r="M151" t="s">
        <v>73</v>
      </c>
      <c r="N151" t="s">
        <v>1020</v>
      </c>
      <c r="O151" s="14">
        <v>40233</v>
      </c>
      <c r="P151" t="s">
        <v>1021</v>
      </c>
      <c r="Q151" s="15" t="s">
        <v>848</v>
      </c>
      <c r="R151" s="15" t="s">
        <v>849</v>
      </c>
      <c r="S151" t="s">
        <v>443</v>
      </c>
      <c r="T151" s="9">
        <v>43018</v>
      </c>
      <c r="U151" s="9">
        <v>43020</v>
      </c>
      <c r="V151" s="12">
        <v>375</v>
      </c>
      <c r="W151" s="12">
        <v>65</v>
      </c>
      <c r="X151" s="17">
        <v>0.25</v>
      </c>
      <c r="Y151">
        <v>77.5</v>
      </c>
      <c r="Z151" s="12">
        <v>142.5</v>
      </c>
      <c r="AA151" s="12">
        <v>22.752100840336134</v>
      </c>
      <c r="AB151" s="12">
        <v>167.5</v>
      </c>
      <c r="AF151" s="18">
        <f t="shared" si="2"/>
        <v>0</v>
      </c>
    </row>
    <row r="152" spans="1:32" customFormat="1" x14ac:dyDescent="0.25">
      <c r="A152" t="s">
        <v>18</v>
      </c>
      <c r="B152" t="s">
        <v>42</v>
      </c>
      <c r="C152" t="s">
        <v>445</v>
      </c>
      <c r="D152" s="9">
        <v>43018</v>
      </c>
      <c r="E152" s="9">
        <v>43020</v>
      </c>
      <c r="F152">
        <v>145</v>
      </c>
      <c r="H152">
        <v>35</v>
      </c>
      <c r="I152" t="s">
        <v>446</v>
      </c>
      <c r="J152">
        <v>60010</v>
      </c>
      <c r="K152" t="s">
        <v>18</v>
      </c>
      <c r="L152" t="s">
        <v>42</v>
      </c>
      <c r="M152" t="s">
        <v>42</v>
      </c>
      <c r="N152" t="s">
        <v>1070</v>
      </c>
      <c r="O152" s="14">
        <v>10245</v>
      </c>
      <c r="P152" t="s">
        <v>1071</v>
      </c>
      <c r="Q152" s="15" t="s">
        <v>848</v>
      </c>
      <c r="R152" s="15" t="s">
        <v>849</v>
      </c>
      <c r="S152" t="s">
        <v>445</v>
      </c>
      <c r="T152" s="9">
        <v>43018</v>
      </c>
      <c r="U152" s="9">
        <v>43020</v>
      </c>
      <c r="V152" s="12">
        <v>145</v>
      </c>
      <c r="W152" s="12">
        <v>35</v>
      </c>
      <c r="X152" s="17">
        <v>0.25</v>
      </c>
      <c r="Y152">
        <v>27.5</v>
      </c>
      <c r="Z152" s="12">
        <v>62.5</v>
      </c>
      <c r="AA152" s="12">
        <v>9.9789915966386555</v>
      </c>
      <c r="AB152" s="12">
        <v>47.5</v>
      </c>
      <c r="AF152" s="18">
        <f t="shared" si="2"/>
        <v>0</v>
      </c>
    </row>
    <row r="153" spans="1:32" customFormat="1" x14ac:dyDescent="0.25">
      <c r="A153" t="s">
        <v>11</v>
      </c>
      <c r="B153" t="s">
        <v>54</v>
      </c>
      <c r="C153" t="s">
        <v>447</v>
      </c>
      <c r="D153" s="9">
        <v>43018</v>
      </c>
      <c r="E153" s="9">
        <v>43020</v>
      </c>
      <c r="F153">
        <v>150</v>
      </c>
      <c r="G153">
        <v>1</v>
      </c>
      <c r="H153">
        <v>35</v>
      </c>
      <c r="I153" t="s">
        <v>448</v>
      </c>
      <c r="J153">
        <v>10095</v>
      </c>
      <c r="K153" t="s">
        <v>11</v>
      </c>
      <c r="L153" t="s">
        <v>900</v>
      </c>
      <c r="M153" t="s">
        <v>900</v>
      </c>
      <c r="N153" t="s">
        <v>901</v>
      </c>
      <c r="O153" s="14">
        <v>80337</v>
      </c>
      <c r="P153" t="s">
        <v>902</v>
      </c>
      <c r="Q153" s="15" t="s">
        <v>848</v>
      </c>
      <c r="R153" s="15" t="s">
        <v>849</v>
      </c>
      <c r="S153" t="s">
        <v>447</v>
      </c>
      <c r="T153" s="9">
        <v>43018</v>
      </c>
      <c r="U153" s="9">
        <v>43020</v>
      </c>
      <c r="V153" s="12">
        <v>150</v>
      </c>
      <c r="W153" s="12">
        <v>35</v>
      </c>
      <c r="X153" s="17">
        <v>0.25</v>
      </c>
      <c r="Y153">
        <v>28.75</v>
      </c>
      <c r="Z153" s="12">
        <v>63.75</v>
      </c>
      <c r="AA153" s="12">
        <v>10.178571428571429</v>
      </c>
      <c r="AB153" s="12">
        <v>51.25</v>
      </c>
      <c r="AF153" s="18">
        <f t="shared" si="2"/>
        <v>0</v>
      </c>
    </row>
    <row r="154" spans="1:32" customFormat="1" x14ac:dyDescent="0.25">
      <c r="A154" t="s">
        <v>11</v>
      </c>
      <c r="B154" t="s">
        <v>449</v>
      </c>
      <c r="C154" t="s">
        <v>450</v>
      </c>
      <c r="D154" s="9">
        <v>43018</v>
      </c>
      <c r="E154" s="9">
        <v>43022</v>
      </c>
      <c r="G154">
        <v>291</v>
      </c>
      <c r="H154">
        <v>55</v>
      </c>
      <c r="I154" t="s">
        <v>451</v>
      </c>
      <c r="J154">
        <v>10100</v>
      </c>
      <c r="K154" t="s">
        <v>11</v>
      </c>
      <c r="L154" t="s">
        <v>449</v>
      </c>
      <c r="M154" t="s">
        <v>449</v>
      </c>
      <c r="N154" t="s">
        <v>1072</v>
      </c>
      <c r="O154" s="14">
        <v>19124</v>
      </c>
      <c r="P154" t="s">
        <v>1073</v>
      </c>
      <c r="Q154" s="15" t="s">
        <v>849</v>
      </c>
      <c r="R154" s="15" t="s">
        <v>848</v>
      </c>
      <c r="S154" t="s">
        <v>450</v>
      </c>
      <c r="T154" s="9">
        <v>43018</v>
      </c>
      <c r="U154" s="9">
        <v>43022</v>
      </c>
      <c r="V154" s="12">
        <v>0</v>
      </c>
      <c r="W154" s="12">
        <v>55</v>
      </c>
      <c r="X154" s="17">
        <v>0.25</v>
      </c>
      <c r="Y154">
        <v>-13.75</v>
      </c>
      <c r="Z154" s="12">
        <v>41.25</v>
      </c>
      <c r="AA154" s="12">
        <v>6.5861344537815123</v>
      </c>
      <c r="AB154" s="12">
        <v>-96.25</v>
      </c>
      <c r="AF154" s="18">
        <f t="shared" si="2"/>
        <v>0</v>
      </c>
    </row>
    <row r="155" spans="1:32" customFormat="1" x14ac:dyDescent="0.25">
      <c r="A155" t="s">
        <v>18</v>
      </c>
      <c r="B155" t="s">
        <v>62</v>
      </c>
      <c r="C155" t="s">
        <v>452</v>
      </c>
      <c r="D155" s="9">
        <v>43018</v>
      </c>
      <c r="E155" s="9">
        <v>43023</v>
      </c>
      <c r="F155">
        <v>349</v>
      </c>
      <c r="H155">
        <v>45</v>
      </c>
      <c r="I155" t="s">
        <v>453</v>
      </c>
      <c r="J155">
        <v>60028</v>
      </c>
      <c r="K155" t="s">
        <v>18</v>
      </c>
      <c r="L155" t="s">
        <v>1074</v>
      </c>
      <c r="M155" t="s">
        <v>1074</v>
      </c>
      <c r="N155" t="s">
        <v>1075</v>
      </c>
      <c r="O155" s="14">
        <v>10247</v>
      </c>
      <c r="P155" t="s">
        <v>1076</v>
      </c>
      <c r="Q155" s="15" t="s">
        <v>848</v>
      </c>
      <c r="R155" s="15" t="s">
        <v>849</v>
      </c>
      <c r="S155" t="s">
        <v>452</v>
      </c>
      <c r="T155" s="9">
        <v>43018</v>
      </c>
      <c r="U155" s="9">
        <v>43023</v>
      </c>
      <c r="V155" s="12">
        <v>349</v>
      </c>
      <c r="W155" s="12">
        <v>45</v>
      </c>
      <c r="X155" s="17">
        <v>0.25</v>
      </c>
      <c r="Y155">
        <v>76</v>
      </c>
      <c r="Z155" s="12">
        <v>121</v>
      </c>
      <c r="AA155" s="12">
        <v>19.319327731092436</v>
      </c>
      <c r="AB155" s="12">
        <v>183</v>
      </c>
      <c r="AF155" s="18">
        <f t="shared" si="2"/>
        <v>0</v>
      </c>
    </row>
    <row r="156" spans="1:32" customFormat="1" x14ac:dyDescent="0.25">
      <c r="A156" t="s">
        <v>18</v>
      </c>
      <c r="B156" t="s">
        <v>55</v>
      </c>
      <c r="C156" t="s">
        <v>454</v>
      </c>
      <c r="D156" s="9">
        <v>43018</v>
      </c>
      <c r="E156" s="9">
        <v>43022</v>
      </c>
      <c r="F156">
        <v>287</v>
      </c>
      <c r="G156">
        <v>1</v>
      </c>
      <c r="H156">
        <v>50</v>
      </c>
      <c r="I156" t="s">
        <v>455</v>
      </c>
      <c r="J156">
        <v>60025</v>
      </c>
      <c r="K156" t="s">
        <v>18</v>
      </c>
      <c r="L156" t="s">
        <v>947</v>
      </c>
      <c r="M156" t="s">
        <v>947</v>
      </c>
      <c r="N156" t="s">
        <v>948</v>
      </c>
      <c r="O156" s="14">
        <v>10969</v>
      </c>
      <c r="P156" t="s">
        <v>949</v>
      </c>
      <c r="Q156" s="15" t="s">
        <v>848</v>
      </c>
      <c r="R156" s="15" t="s">
        <v>849</v>
      </c>
      <c r="S156" t="s">
        <v>454</v>
      </c>
      <c r="T156" s="9">
        <v>43018</v>
      </c>
      <c r="U156" s="9">
        <v>43022</v>
      </c>
      <c r="V156" s="12">
        <v>287</v>
      </c>
      <c r="W156" s="12">
        <v>50</v>
      </c>
      <c r="X156" s="17">
        <v>0.25</v>
      </c>
      <c r="Y156">
        <v>59.25</v>
      </c>
      <c r="Z156" s="12">
        <v>109.25</v>
      </c>
      <c r="AA156" s="12">
        <v>17.443277310924369</v>
      </c>
      <c r="AB156" s="12">
        <v>127.75</v>
      </c>
      <c r="AF156" s="18">
        <f t="shared" si="2"/>
        <v>0</v>
      </c>
    </row>
    <row r="157" spans="1:32" customFormat="1" x14ac:dyDescent="0.25">
      <c r="A157" t="s">
        <v>9</v>
      </c>
      <c r="B157" t="s">
        <v>68</v>
      </c>
      <c r="C157" t="s">
        <v>456</v>
      </c>
      <c r="D157" s="9">
        <v>43019</v>
      </c>
      <c r="E157" s="9">
        <v>43021</v>
      </c>
      <c r="F157">
        <v>158</v>
      </c>
      <c r="G157">
        <v>1</v>
      </c>
      <c r="H157">
        <v>30</v>
      </c>
      <c r="I157" t="s">
        <v>457</v>
      </c>
      <c r="J157">
        <v>20025</v>
      </c>
      <c r="K157" t="s">
        <v>9</v>
      </c>
      <c r="L157" t="s">
        <v>1077</v>
      </c>
      <c r="M157" t="s">
        <v>1077</v>
      </c>
      <c r="N157" t="s">
        <v>1078</v>
      </c>
      <c r="O157" s="14">
        <v>60322</v>
      </c>
      <c r="P157" t="s">
        <v>1079</v>
      </c>
      <c r="Q157" s="15" t="s">
        <v>848</v>
      </c>
      <c r="R157" s="15" t="s">
        <v>849</v>
      </c>
      <c r="S157" t="s">
        <v>456</v>
      </c>
      <c r="T157" s="9">
        <v>43019</v>
      </c>
      <c r="U157" s="9">
        <v>43021</v>
      </c>
      <c r="V157" s="12">
        <v>158</v>
      </c>
      <c r="W157" s="12">
        <v>30</v>
      </c>
      <c r="X157" s="17">
        <v>0.25</v>
      </c>
      <c r="Y157">
        <v>32</v>
      </c>
      <c r="Z157" s="12">
        <v>62</v>
      </c>
      <c r="AA157" s="12">
        <v>9.8991596638655466</v>
      </c>
      <c r="AB157" s="12">
        <v>66</v>
      </c>
      <c r="AF157" s="18">
        <f t="shared" si="2"/>
        <v>0</v>
      </c>
    </row>
    <row r="158" spans="1:32" customFormat="1" x14ac:dyDescent="0.25">
      <c r="A158" t="s">
        <v>12</v>
      </c>
      <c r="B158" t="s">
        <v>36</v>
      </c>
      <c r="C158" t="s">
        <v>458</v>
      </c>
      <c r="D158" s="9">
        <v>43019</v>
      </c>
      <c r="E158" s="9">
        <v>43021</v>
      </c>
      <c r="F158">
        <v>180</v>
      </c>
      <c r="G158">
        <v>1</v>
      </c>
      <c r="H158">
        <v>35</v>
      </c>
      <c r="I158" t="s">
        <v>459</v>
      </c>
      <c r="J158">
        <v>50034</v>
      </c>
      <c r="K158" t="s">
        <v>12</v>
      </c>
      <c r="L158" t="s">
        <v>36</v>
      </c>
      <c r="M158" t="s">
        <v>36</v>
      </c>
      <c r="N158" t="s">
        <v>976</v>
      </c>
      <c r="O158" s="14">
        <v>22763</v>
      </c>
      <c r="P158" t="s">
        <v>977</v>
      </c>
      <c r="Q158" s="15" t="s">
        <v>848</v>
      </c>
      <c r="R158" s="15" t="s">
        <v>849</v>
      </c>
      <c r="S158" t="s">
        <v>458</v>
      </c>
      <c r="T158" s="9">
        <v>43019</v>
      </c>
      <c r="U158" s="9">
        <v>43021</v>
      </c>
      <c r="V158" s="12">
        <v>180</v>
      </c>
      <c r="W158" s="12">
        <v>35</v>
      </c>
      <c r="X158" s="17">
        <v>0.25</v>
      </c>
      <c r="Y158">
        <v>36.25</v>
      </c>
      <c r="Z158" s="12">
        <v>71.25</v>
      </c>
      <c r="AA158" s="12">
        <v>11.376050420168067</v>
      </c>
      <c r="AB158" s="12">
        <v>73.75</v>
      </c>
      <c r="AF158" s="18">
        <f t="shared" si="2"/>
        <v>0</v>
      </c>
    </row>
    <row r="159" spans="1:32" customFormat="1" x14ac:dyDescent="0.25">
      <c r="A159" t="s">
        <v>9</v>
      </c>
      <c r="B159" t="s">
        <v>28</v>
      </c>
      <c r="C159" t="s">
        <v>460</v>
      </c>
      <c r="D159" s="9">
        <v>43019</v>
      </c>
      <c r="E159" s="9">
        <v>43021</v>
      </c>
      <c r="F159">
        <v>260</v>
      </c>
      <c r="G159">
        <v>1</v>
      </c>
      <c r="H159">
        <v>30</v>
      </c>
      <c r="I159" t="s">
        <v>461</v>
      </c>
      <c r="J159">
        <v>20028</v>
      </c>
      <c r="K159" t="s">
        <v>9</v>
      </c>
      <c r="L159" t="s">
        <v>28</v>
      </c>
      <c r="M159" t="s">
        <v>28</v>
      </c>
      <c r="N159" t="s">
        <v>895</v>
      </c>
      <c r="O159" s="14">
        <v>60313</v>
      </c>
      <c r="P159" t="s">
        <v>896</v>
      </c>
      <c r="Q159" s="15" t="s">
        <v>848</v>
      </c>
      <c r="R159" s="15" t="s">
        <v>849</v>
      </c>
      <c r="S159" t="s">
        <v>460</v>
      </c>
      <c r="T159" s="9">
        <v>43019</v>
      </c>
      <c r="U159" s="9">
        <v>43021</v>
      </c>
      <c r="V159" s="12">
        <v>260</v>
      </c>
      <c r="W159" s="12">
        <v>30</v>
      </c>
      <c r="X159" s="17">
        <v>0.25</v>
      </c>
      <c r="Y159">
        <v>57.5</v>
      </c>
      <c r="Z159" s="12">
        <v>87.5</v>
      </c>
      <c r="AA159" s="12">
        <v>13.97058823529412</v>
      </c>
      <c r="AB159" s="12">
        <v>142.5</v>
      </c>
      <c r="AF159" s="18">
        <f t="shared" si="2"/>
        <v>0</v>
      </c>
    </row>
    <row r="160" spans="1:32" customFormat="1" x14ac:dyDescent="0.25">
      <c r="A160" t="s">
        <v>9</v>
      </c>
      <c r="B160" t="s">
        <v>409</v>
      </c>
      <c r="C160" t="s">
        <v>462</v>
      </c>
      <c r="D160" s="9">
        <v>43019</v>
      </c>
      <c r="E160" s="9">
        <v>43021</v>
      </c>
      <c r="F160">
        <v>239</v>
      </c>
      <c r="G160">
        <v>1</v>
      </c>
      <c r="H160">
        <v>50</v>
      </c>
      <c r="I160" t="s">
        <v>463</v>
      </c>
      <c r="J160">
        <v>20037</v>
      </c>
      <c r="K160" t="s">
        <v>9</v>
      </c>
      <c r="L160" t="s">
        <v>409</v>
      </c>
      <c r="M160" t="s">
        <v>409</v>
      </c>
      <c r="N160" t="s">
        <v>1050</v>
      </c>
      <c r="O160" s="14">
        <v>13353</v>
      </c>
      <c r="P160" t="s">
        <v>1051</v>
      </c>
      <c r="Q160" s="15" t="s">
        <v>848</v>
      </c>
      <c r="R160" s="15" t="s">
        <v>849</v>
      </c>
      <c r="S160" t="s">
        <v>462</v>
      </c>
      <c r="T160" s="9">
        <v>43019</v>
      </c>
      <c r="U160" s="9">
        <v>43021</v>
      </c>
      <c r="V160" s="12">
        <v>239</v>
      </c>
      <c r="W160" s="12">
        <v>50</v>
      </c>
      <c r="X160" s="17">
        <v>0.25</v>
      </c>
      <c r="Y160">
        <v>47.25</v>
      </c>
      <c r="Z160" s="12">
        <v>97.25</v>
      </c>
      <c r="AA160" s="12">
        <v>15.527310924369747</v>
      </c>
      <c r="AB160" s="12">
        <v>91.75</v>
      </c>
      <c r="AF160" s="18">
        <f t="shared" si="2"/>
        <v>0</v>
      </c>
    </row>
    <row r="161" spans="1:32" customFormat="1" x14ac:dyDescent="0.25">
      <c r="A161" t="s">
        <v>9</v>
      </c>
      <c r="B161" t="s">
        <v>464</v>
      </c>
      <c r="C161" t="s">
        <v>465</v>
      </c>
      <c r="D161" s="9">
        <v>43019</v>
      </c>
      <c r="E161" s="9">
        <v>43021</v>
      </c>
      <c r="F161">
        <v>294</v>
      </c>
      <c r="G161">
        <v>1</v>
      </c>
      <c r="H161">
        <v>45</v>
      </c>
      <c r="I161" t="s">
        <v>466</v>
      </c>
      <c r="J161">
        <v>20031</v>
      </c>
      <c r="K161" t="s">
        <v>9</v>
      </c>
      <c r="L161" t="s">
        <v>1080</v>
      </c>
      <c r="M161" t="s">
        <v>1080</v>
      </c>
      <c r="N161" t="s">
        <v>1081</v>
      </c>
      <c r="O161" s="14">
        <v>60326</v>
      </c>
      <c r="P161" t="s">
        <v>1082</v>
      </c>
      <c r="Q161" s="15" t="s">
        <v>848</v>
      </c>
      <c r="R161" s="15" t="s">
        <v>849</v>
      </c>
      <c r="S161" t="s">
        <v>465</v>
      </c>
      <c r="T161" s="9">
        <v>43019</v>
      </c>
      <c r="U161" s="9">
        <v>43021</v>
      </c>
      <c r="V161" s="12">
        <v>294</v>
      </c>
      <c r="W161" s="12">
        <v>45</v>
      </c>
      <c r="X161" s="17">
        <v>0.25</v>
      </c>
      <c r="Y161">
        <v>62.25</v>
      </c>
      <c r="Z161" s="12">
        <v>107.25</v>
      </c>
      <c r="AA161" s="12">
        <v>17.123949579831933</v>
      </c>
      <c r="AB161" s="12">
        <v>141.75</v>
      </c>
      <c r="AF161" s="18">
        <f t="shared" si="2"/>
        <v>0</v>
      </c>
    </row>
    <row r="162" spans="1:32" customFormat="1" x14ac:dyDescent="0.25">
      <c r="A162" t="s">
        <v>18</v>
      </c>
      <c r="B162" t="s">
        <v>34</v>
      </c>
      <c r="C162" t="s">
        <v>467</v>
      </c>
      <c r="D162" s="9">
        <v>43019</v>
      </c>
      <c r="E162" s="9">
        <v>43021</v>
      </c>
      <c r="F162">
        <v>345</v>
      </c>
      <c r="G162">
        <v>1</v>
      </c>
      <c r="H162">
        <v>60</v>
      </c>
      <c r="I162" t="s">
        <v>468</v>
      </c>
      <c r="J162">
        <v>60001</v>
      </c>
      <c r="K162" t="s">
        <v>18</v>
      </c>
      <c r="L162" t="s">
        <v>903</v>
      </c>
      <c r="M162" t="s">
        <v>903</v>
      </c>
      <c r="N162" t="s">
        <v>904</v>
      </c>
      <c r="O162" s="14">
        <v>10247</v>
      </c>
      <c r="P162" t="s">
        <v>905</v>
      </c>
      <c r="Q162" s="15" t="s">
        <v>849</v>
      </c>
      <c r="R162" s="15" t="s">
        <v>848</v>
      </c>
      <c r="S162" t="s">
        <v>467</v>
      </c>
      <c r="T162" s="9">
        <v>43019</v>
      </c>
      <c r="U162" s="9">
        <v>43021</v>
      </c>
      <c r="V162" s="12">
        <v>345</v>
      </c>
      <c r="W162" s="12">
        <v>60</v>
      </c>
      <c r="X162" s="17">
        <v>0.25</v>
      </c>
      <c r="Y162">
        <v>71.25</v>
      </c>
      <c r="Z162" s="12">
        <v>131.25</v>
      </c>
      <c r="AA162" s="12">
        <v>20.955882352941178</v>
      </c>
      <c r="AB162" s="12">
        <v>153.75</v>
      </c>
      <c r="AF162" s="18">
        <f t="shared" si="2"/>
        <v>0</v>
      </c>
    </row>
    <row r="163" spans="1:32" customFormat="1" x14ac:dyDescent="0.25">
      <c r="A163" t="s">
        <v>18</v>
      </c>
      <c r="B163" t="s">
        <v>266</v>
      </c>
      <c r="C163" t="s">
        <v>469</v>
      </c>
      <c r="D163" s="9">
        <v>43019</v>
      </c>
      <c r="E163" s="9">
        <v>43022</v>
      </c>
      <c r="F163">
        <v>211</v>
      </c>
      <c r="H163">
        <v>45</v>
      </c>
      <c r="I163" t="s">
        <v>470</v>
      </c>
      <c r="J163">
        <v>60002</v>
      </c>
      <c r="K163" t="s">
        <v>18</v>
      </c>
      <c r="L163" t="s">
        <v>980</v>
      </c>
      <c r="M163" t="s">
        <v>980</v>
      </c>
      <c r="N163" t="s">
        <v>981</v>
      </c>
      <c r="O163" s="14">
        <v>12047</v>
      </c>
      <c r="P163" t="s">
        <v>982</v>
      </c>
      <c r="Q163" s="15" t="s">
        <v>848</v>
      </c>
      <c r="R163" s="15" t="s">
        <v>849</v>
      </c>
      <c r="S163" t="s">
        <v>469</v>
      </c>
      <c r="T163" s="9">
        <v>43019</v>
      </c>
      <c r="U163" s="9">
        <v>43022</v>
      </c>
      <c r="V163" s="12">
        <v>211</v>
      </c>
      <c r="W163" s="12">
        <v>45</v>
      </c>
      <c r="X163" s="17">
        <v>0.25</v>
      </c>
      <c r="Y163">
        <v>41.5</v>
      </c>
      <c r="Z163" s="12">
        <v>86.5</v>
      </c>
      <c r="AA163" s="12">
        <v>13.810924369747898</v>
      </c>
      <c r="AB163" s="12">
        <v>79.5</v>
      </c>
      <c r="AF163" s="18">
        <f t="shared" si="2"/>
        <v>0</v>
      </c>
    </row>
    <row r="164" spans="1:32" customFormat="1" x14ac:dyDescent="0.25">
      <c r="A164" t="s">
        <v>38</v>
      </c>
      <c r="B164" t="s">
        <v>39</v>
      </c>
      <c r="C164" t="s">
        <v>471</v>
      </c>
      <c r="D164" s="9">
        <v>43020</v>
      </c>
      <c r="E164" s="9">
        <v>43021</v>
      </c>
      <c r="F164">
        <v>125</v>
      </c>
      <c r="H164">
        <v>40</v>
      </c>
      <c r="I164" t="s">
        <v>472</v>
      </c>
      <c r="J164">
        <v>40010</v>
      </c>
      <c r="K164" t="s">
        <v>38</v>
      </c>
      <c r="L164" t="s">
        <v>879</v>
      </c>
      <c r="M164" t="s">
        <v>880</v>
      </c>
      <c r="N164" t="s">
        <v>881</v>
      </c>
      <c r="O164" s="14">
        <v>50670</v>
      </c>
      <c r="P164" t="s">
        <v>882</v>
      </c>
      <c r="Q164" s="15" t="s">
        <v>849</v>
      </c>
      <c r="R164" s="15" t="s">
        <v>848</v>
      </c>
      <c r="S164" t="s">
        <v>471</v>
      </c>
      <c r="T164" s="9">
        <v>43020</v>
      </c>
      <c r="U164" s="9">
        <v>43021</v>
      </c>
      <c r="V164" s="12">
        <v>125</v>
      </c>
      <c r="W164" s="12">
        <v>40</v>
      </c>
      <c r="X164" s="17">
        <v>0.2</v>
      </c>
      <c r="Y164">
        <v>17</v>
      </c>
      <c r="Z164" s="12">
        <v>57</v>
      </c>
      <c r="AA164" s="12">
        <v>9.1008403361344534</v>
      </c>
      <c r="AB164" s="12">
        <v>28</v>
      </c>
      <c r="AF164" s="18">
        <f t="shared" si="2"/>
        <v>0</v>
      </c>
    </row>
    <row r="165" spans="1:32" customFormat="1" x14ac:dyDescent="0.25">
      <c r="A165" t="s">
        <v>9</v>
      </c>
      <c r="B165" t="s">
        <v>14</v>
      </c>
      <c r="C165" t="s">
        <v>473</v>
      </c>
      <c r="D165" s="9">
        <v>43020</v>
      </c>
      <c r="E165" s="9">
        <v>43026</v>
      </c>
      <c r="F165">
        <v>433</v>
      </c>
      <c r="G165">
        <v>1</v>
      </c>
      <c r="H165">
        <v>35</v>
      </c>
      <c r="I165" t="s">
        <v>474</v>
      </c>
      <c r="J165">
        <v>20026</v>
      </c>
      <c r="K165" t="s">
        <v>9</v>
      </c>
      <c r="L165" t="s">
        <v>985</v>
      </c>
      <c r="M165" t="s">
        <v>986</v>
      </c>
      <c r="N165" t="s">
        <v>987</v>
      </c>
      <c r="O165" s="14">
        <v>61440</v>
      </c>
      <c r="P165" t="s">
        <v>988</v>
      </c>
      <c r="Q165" s="15" t="s">
        <v>848</v>
      </c>
      <c r="R165" s="15" t="s">
        <v>849</v>
      </c>
      <c r="S165" t="s">
        <v>473</v>
      </c>
      <c r="T165" s="9">
        <v>43020</v>
      </c>
      <c r="U165" s="9">
        <v>43026</v>
      </c>
      <c r="V165" s="12">
        <v>433</v>
      </c>
      <c r="W165" s="12">
        <v>35</v>
      </c>
      <c r="X165" s="17">
        <v>0.25</v>
      </c>
      <c r="Y165">
        <v>99.5</v>
      </c>
      <c r="Z165" s="12">
        <v>134.5</v>
      </c>
      <c r="AA165" s="12">
        <v>21.474789915966387</v>
      </c>
      <c r="AB165" s="12">
        <v>263.5</v>
      </c>
      <c r="AF165" s="18">
        <f t="shared" si="2"/>
        <v>0</v>
      </c>
    </row>
    <row r="166" spans="1:32" customFormat="1" x14ac:dyDescent="0.25">
      <c r="A166" t="s">
        <v>9</v>
      </c>
      <c r="B166" t="s">
        <v>67</v>
      </c>
      <c r="C166" t="s">
        <v>475</v>
      </c>
      <c r="D166" s="9">
        <v>43020</v>
      </c>
      <c r="E166" s="9">
        <v>43023</v>
      </c>
      <c r="F166">
        <v>470</v>
      </c>
      <c r="H166">
        <v>50</v>
      </c>
      <c r="I166" t="s">
        <v>476</v>
      </c>
      <c r="J166">
        <v>20032</v>
      </c>
      <c r="K166" t="s">
        <v>9</v>
      </c>
      <c r="L166" t="s">
        <v>1067</v>
      </c>
      <c r="M166" t="s">
        <v>1067</v>
      </c>
      <c r="N166" t="s">
        <v>1068</v>
      </c>
      <c r="O166" s="14">
        <v>60325</v>
      </c>
      <c r="P166" t="s">
        <v>1069</v>
      </c>
      <c r="Q166" s="15" t="s">
        <v>849</v>
      </c>
      <c r="R166" s="15" t="s">
        <v>848</v>
      </c>
      <c r="S166" t="s">
        <v>475</v>
      </c>
      <c r="T166" s="9">
        <v>43020</v>
      </c>
      <c r="U166" s="9">
        <v>43023</v>
      </c>
      <c r="V166" s="12">
        <v>470</v>
      </c>
      <c r="W166" s="12">
        <v>50</v>
      </c>
      <c r="X166" s="17">
        <v>0.23</v>
      </c>
      <c r="Y166">
        <v>96.600000000000009</v>
      </c>
      <c r="Z166" s="12">
        <v>146.60000000000002</v>
      </c>
      <c r="AA166" s="12">
        <v>23.406722689075636</v>
      </c>
      <c r="AB166" s="12">
        <v>273.39999999999998</v>
      </c>
      <c r="AF166" s="18">
        <f t="shared" si="2"/>
        <v>0</v>
      </c>
    </row>
    <row r="167" spans="1:32" customFormat="1" x14ac:dyDescent="0.25">
      <c r="A167" t="s">
        <v>18</v>
      </c>
      <c r="B167" t="s">
        <v>64</v>
      </c>
      <c r="C167" t="s">
        <v>477</v>
      </c>
      <c r="D167" s="9">
        <v>43020</v>
      </c>
      <c r="E167" s="9">
        <v>43023</v>
      </c>
      <c r="F167">
        <v>220</v>
      </c>
      <c r="H167">
        <v>40</v>
      </c>
      <c r="I167" t="s">
        <v>478</v>
      </c>
      <c r="J167">
        <v>60023</v>
      </c>
      <c r="K167" t="s">
        <v>18</v>
      </c>
      <c r="L167" t="s">
        <v>64</v>
      </c>
      <c r="M167" t="s">
        <v>64</v>
      </c>
      <c r="N167" t="s">
        <v>1083</v>
      </c>
      <c r="O167" s="14">
        <v>10407</v>
      </c>
      <c r="P167" t="s">
        <v>1084</v>
      </c>
      <c r="Q167" s="15" t="s">
        <v>848</v>
      </c>
      <c r="R167" s="15" t="s">
        <v>849</v>
      </c>
      <c r="S167" t="s">
        <v>477</v>
      </c>
      <c r="T167" s="9">
        <v>43020</v>
      </c>
      <c r="U167" s="9">
        <v>43023</v>
      </c>
      <c r="V167" s="12">
        <v>220</v>
      </c>
      <c r="W167" s="12">
        <v>40</v>
      </c>
      <c r="X167" s="17">
        <v>0.25</v>
      </c>
      <c r="Y167">
        <v>45</v>
      </c>
      <c r="Z167" s="12">
        <v>85</v>
      </c>
      <c r="AA167" s="12">
        <v>13.571428571428571</v>
      </c>
      <c r="AB167" s="12">
        <v>95</v>
      </c>
      <c r="AF167" s="18">
        <f t="shared" si="2"/>
        <v>0</v>
      </c>
    </row>
    <row r="168" spans="1:32" customFormat="1" x14ac:dyDescent="0.25">
      <c r="A168" t="s">
        <v>15</v>
      </c>
      <c r="B168" t="s">
        <v>26</v>
      </c>
      <c r="C168" t="s">
        <v>479</v>
      </c>
      <c r="D168" s="9">
        <v>43021</v>
      </c>
      <c r="E168" s="9">
        <v>43039</v>
      </c>
      <c r="F168">
        <v>1291</v>
      </c>
      <c r="H168">
        <v>35</v>
      </c>
      <c r="I168" t="s">
        <v>480</v>
      </c>
      <c r="J168">
        <v>30013</v>
      </c>
      <c r="K168" t="s">
        <v>15</v>
      </c>
      <c r="L168" t="s">
        <v>941</v>
      </c>
      <c r="M168" t="s">
        <v>941</v>
      </c>
      <c r="N168" t="s">
        <v>942</v>
      </c>
      <c r="O168" s="14">
        <v>40215</v>
      </c>
      <c r="P168" t="s">
        <v>943</v>
      </c>
      <c r="Q168" s="15" t="s">
        <v>848</v>
      </c>
      <c r="R168" s="15" t="s">
        <v>849</v>
      </c>
      <c r="S168" t="s">
        <v>479</v>
      </c>
      <c r="T168" s="9">
        <v>43021</v>
      </c>
      <c r="U168" s="9">
        <v>43039</v>
      </c>
      <c r="V168" s="12">
        <v>1291</v>
      </c>
      <c r="W168" s="12">
        <v>35</v>
      </c>
      <c r="X168" s="17">
        <v>0.25</v>
      </c>
      <c r="Y168">
        <v>314</v>
      </c>
      <c r="Z168" s="12">
        <v>349</v>
      </c>
      <c r="AA168" s="12">
        <v>55.72268907563025</v>
      </c>
      <c r="AB168" s="12">
        <v>907</v>
      </c>
      <c r="AF168" s="18">
        <f t="shared" si="2"/>
        <v>0</v>
      </c>
    </row>
    <row r="169" spans="1:32" customFormat="1" x14ac:dyDescent="0.25">
      <c r="A169" t="s">
        <v>12</v>
      </c>
      <c r="B169" t="s">
        <v>33</v>
      </c>
      <c r="C169" t="s">
        <v>481</v>
      </c>
      <c r="D169" s="9">
        <v>43021</v>
      </c>
      <c r="E169" s="9">
        <v>43024</v>
      </c>
      <c r="F169">
        <v>234</v>
      </c>
      <c r="G169">
        <v>1</v>
      </c>
      <c r="H169">
        <v>30</v>
      </c>
      <c r="I169" t="s">
        <v>482</v>
      </c>
      <c r="J169">
        <v>50005</v>
      </c>
      <c r="K169" t="s">
        <v>12</v>
      </c>
      <c r="L169" t="s">
        <v>33</v>
      </c>
      <c r="M169" t="s">
        <v>33</v>
      </c>
      <c r="N169" t="s">
        <v>862</v>
      </c>
      <c r="O169" s="14">
        <v>20359</v>
      </c>
      <c r="P169" t="s">
        <v>863</v>
      </c>
      <c r="Q169" s="15" t="s">
        <v>848</v>
      </c>
      <c r="R169" s="15" t="s">
        <v>849</v>
      </c>
      <c r="S169" t="s">
        <v>481</v>
      </c>
      <c r="T169" s="9">
        <v>43021</v>
      </c>
      <c r="U169" s="9">
        <v>43024</v>
      </c>
      <c r="V169" s="12">
        <v>234</v>
      </c>
      <c r="W169" s="12">
        <v>30</v>
      </c>
      <c r="X169" s="17">
        <v>0.25</v>
      </c>
      <c r="Y169">
        <v>51</v>
      </c>
      <c r="Z169" s="12">
        <v>81</v>
      </c>
      <c r="AA169" s="12">
        <v>12.932773109243698</v>
      </c>
      <c r="AB169" s="12">
        <v>123</v>
      </c>
      <c r="AF169" s="18">
        <f t="shared" si="2"/>
        <v>0</v>
      </c>
    </row>
    <row r="170" spans="1:32" customFormat="1" x14ac:dyDescent="0.25">
      <c r="A170" t="s">
        <v>11</v>
      </c>
      <c r="B170" t="s">
        <v>27</v>
      </c>
      <c r="C170" t="s">
        <v>483</v>
      </c>
      <c r="D170" s="9">
        <v>43021</v>
      </c>
      <c r="E170" s="9">
        <v>43023</v>
      </c>
      <c r="F170">
        <v>259</v>
      </c>
      <c r="G170" t="s">
        <v>484</v>
      </c>
      <c r="H170">
        <v>60</v>
      </c>
      <c r="I170" t="s">
        <v>485</v>
      </c>
      <c r="J170">
        <v>10093</v>
      </c>
      <c r="K170" t="s">
        <v>11</v>
      </c>
      <c r="L170" t="s">
        <v>27</v>
      </c>
      <c r="M170" t="s">
        <v>970</v>
      </c>
      <c r="N170" t="s">
        <v>971</v>
      </c>
      <c r="O170" s="14">
        <v>80469</v>
      </c>
      <c r="P170" t="s">
        <v>972</v>
      </c>
      <c r="Q170" s="15" t="s">
        <v>848</v>
      </c>
      <c r="R170" s="15" t="s">
        <v>849</v>
      </c>
      <c r="S170" t="s">
        <v>483</v>
      </c>
      <c r="T170" s="9">
        <v>43021</v>
      </c>
      <c r="U170" s="9">
        <v>43023</v>
      </c>
      <c r="V170" s="12">
        <v>259</v>
      </c>
      <c r="W170" s="12">
        <v>60</v>
      </c>
      <c r="X170" s="17">
        <v>0.25</v>
      </c>
      <c r="Y170">
        <v>49.75</v>
      </c>
      <c r="Z170" s="12">
        <v>109.75</v>
      </c>
      <c r="AA170" s="12">
        <v>17.52310924369748</v>
      </c>
      <c r="AB170" s="12">
        <v>89.25</v>
      </c>
      <c r="AF170" s="18">
        <f t="shared" si="2"/>
        <v>0</v>
      </c>
    </row>
    <row r="171" spans="1:32" customFormat="1" x14ac:dyDescent="0.25">
      <c r="A171" t="s">
        <v>12</v>
      </c>
      <c r="B171" t="s">
        <v>13</v>
      </c>
      <c r="C171" t="s">
        <v>486</v>
      </c>
      <c r="D171" s="9">
        <v>43021</v>
      </c>
      <c r="E171" s="9">
        <v>43023</v>
      </c>
      <c r="F171">
        <v>231</v>
      </c>
      <c r="G171">
        <v>1</v>
      </c>
      <c r="H171">
        <v>35</v>
      </c>
      <c r="I171" t="s">
        <v>487</v>
      </c>
      <c r="J171">
        <v>50014</v>
      </c>
      <c r="K171" t="s">
        <v>12</v>
      </c>
      <c r="L171" t="s">
        <v>950</v>
      </c>
      <c r="M171" t="s">
        <v>950</v>
      </c>
      <c r="N171" t="s">
        <v>951</v>
      </c>
      <c r="O171" s="14">
        <v>22767</v>
      </c>
      <c r="P171" t="s">
        <v>952</v>
      </c>
      <c r="Q171" s="15" t="s">
        <v>848</v>
      </c>
      <c r="R171" s="15" t="s">
        <v>849</v>
      </c>
      <c r="S171" t="s">
        <v>486</v>
      </c>
      <c r="T171" s="9">
        <v>43021</v>
      </c>
      <c r="U171" s="9">
        <v>43023</v>
      </c>
      <c r="V171" s="12">
        <v>231</v>
      </c>
      <c r="W171" s="12">
        <v>35</v>
      </c>
      <c r="X171" s="17">
        <v>0.25</v>
      </c>
      <c r="Y171">
        <v>49</v>
      </c>
      <c r="Z171" s="12">
        <v>84</v>
      </c>
      <c r="AA171" s="12">
        <v>13.411764705882353</v>
      </c>
      <c r="AB171" s="12">
        <v>112</v>
      </c>
      <c r="AF171" s="18">
        <f t="shared" si="2"/>
        <v>0</v>
      </c>
    </row>
    <row r="172" spans="1:32" customFormat="1" x14ac:dyDescent="0.25">
      <c r="A172" t="s">
        <v>11</v>
      </c>
      <c r="B172" t="s">
        <v>51</v>
      </c>
      <c r="C172" t="s">
        <v>488</v>
      </c>
      <c r="D172" s="9">
        <v>43021</v>
      </c>
      <c r="E172" s="9">
        <v>43023</v>
      </c>
      <c r="F172">
        <v>167</v>
      </c>
      <c r="H172">
        <v>30</v>
      </c>
      <c r="I172" t="s">
        <v>489</v>
      </c>
      <c r="J172">
        <v>10085</v>
      </c>
      <c r="K172" t="s">
        <v>11</v>
      </c>
      <c r="L172" t="s">
        <v>964</v>
      </c>
      <c r="M172" t="s">
        <v>964</v>
      </c>
      <c r="N172" t="s">
        <v>965</v>
      </c>
      <c r="O172" s="14">
        <v>80337</v>
      </c>
      <c r="P172" t="s">
        <v>966</v>
      </c>
      <c r="Q172" s="15" t="s">
        <v>848</v>
      </c>
      <c r="R172" s="15" t="s">
        <v>849</v>
      </c>
      <c r="S172" t="s">
        <v>488</v>
      </c>
      <c r="T172" s="9">
        <v>43021</v>
      </c>
      <c r="U172" s="9">
        <v>43023</v>
      </c>
      <c r="V172" s="12">
        <v>167</v>
      </c>
      <c r="W172" s="12">
        <v>30</v>
      </c>
      <c r="X172" s="17">
        <v>0.25</v>
      </c>
      <c r="Y172">
        <v>34.25</v>
      </c>
      <c r="Z172" s="12">
        <v>64.25</v>
      </c>
      <c r="AA172" s="12">
        <v>10.258403361344538</v>
      </c>
      <c r="AB172" s="12">
        <v>72.75</v>
      </c>
      <c r="AF172" s="18">
        <f t="shared" si="2"/>
        <v>0</v>
      </c>
    </row>
    <row r="173" spans="1:32" customFormat="1" x14ac:dyDescent="0.25">
      <c r="A173" t="s">
        <v>11</v>
      </c>
      <c r="B173" t="s">
        <v>56</v>
      </c>
      <c r="C173" t="s">
        <v>490</v>
      </c>
      <c r="D173" s="9">
        <v>43021</v>
      </c>
      <c r="E173" s="9">
        <v>43024</v>
      </c>
      <c r="F173">
        <v>325</v>
      </c>
      <c r="H173">
        <v>35</v>
      </c>
      <c r="I173" t="s">
        <v>491</v>
      </c>
      <c r="J173">
        <v>10076</v>
      </c>
      <c r="K173" t="s">
        <v>11</v>
      </c>
      <c r="L173" t="s">
        <v>56</v>
      </c>
      <c r="M173" t="s">
        <v>56</v>
      </c>
      <c r="N173" t="s">
        <v>1085</v>
      </c>
      <c r="O173" s="14" t="s">
        <v>1086</v>
      </c>
      <c r="P173" t="s">
        <v>1087</v>
      </c>
      <c r="Q173" s="15" t="s">
        <v>848</v>
      </c>
      <c r="R173" s="15" t="s">
        <v>849</v>
      </c>
      <c r="S173" t="s">
        <v>490</v>
      </c>
      <c r="T173" s="9">
        <v>43021</v>
      </c>
      <c r="U173" s="9">
        <v>43024</v>
      </c>
      <c r="V173" s="12">
        <v>325</v>
      </c>
      <c r="W173" s="12">
        <v>35</v>
      </c>
      <c r="X173" s="17">
        <v>0.25</v>
      </c>
      <c r="Y173">
        <v>72.5</v>
      </c>
      <c r="Z173" s="12">
        <v>107.5</v>
      </c>
      <c r="AA173" s="12">
        <v>17.163865546218489</v>
      </c>
      <c r="AB173" s="12">
        <v>182.5</v>
      </c>
      <c r="AF173" s="18">
        <f t="shared" si="2"/>
        <v>0</v>
      </c>
    </row>
    <row r="174" spans="1:32" customFormat="1" x14ac:dyDescent="0.25">
      <c r="A174" t="s">
        <v>9</v>
      </c>
      <c r="B174" t="s">
        <v>28</v>
      </c>
      <c r="C174" t="s">
        <v>492</v>
      </c>
      <c r="D174" s="9">
        <v>43021</v>
      </c>
      <c r="E174" s="9">
        <v>43023</v>
      </c>
      <c r="F174">
        <v>260</v>
      </c>
      <c r="G174">
        <v>1</v>
      </c>
      <c r="H174">
        <v>30</v>
      </c>
      <c r="I174" t="s">
        <v>493</v>
      </c>
      <c r="J174">
        <v>20028</v>
      </c>
      <c r="K174" t="s">
        <v>9</v>
      </c>
      <c r="L174" t="s">
        <v>28</v>
      </c>
      <c r="M174" t="s">
        <v>28</v>
      </c>
      <c r="N174" t="s">
        <v>895</v>
      </c>
      <c r="O174" s="14">
        <v>60313</v>
      </c>
      <c r="P174" t="s">
        <v>896</v>
      </c>
      <c r="Q174" s="15" t="s">
        <v>848</v>
      </c>
      <c r="R174" s="15" t="s">
        <v>849</v>
      </c>
      <c r="S174" t="s">
        <v>492</v>
      </c>
      <c r="T174" s="9">
        <v>43021</v>
      </c>
      <c r="U174" s="9">
        <v>43023</v>
      </c>
      <c r="V174" s="12">
        <v>260</v>
      </c>
      <c r="W174" s="12">
        <v>30</v>
      </c>
      <c r="X174" s="17">
        <v>0.25</v>
      </c>
      <c r="Y174">
        <v>57.5</v>
      </c>
      <c r="Z174" s="12">
        <v>87.5</v>
      </c>
      <c r="AA174" s="12">
        <v>13.97058823529412</v>
      </c>
      <c r="AB174" s="12">
        <v>142.5</v>
      </c>
      <c r="AF174" s="18">
        <f t="shared" si="2"/>
        <v>0</v>
      </c>
    </row>
    <row r="175" spans="1:32" customFormat="1" x14ac:dyDescent="0.25">
      <c r="A175" t="s">
        <v>18</v>
      </c>
      <c r="B175" t="s">
        <v>34</v>
      </c>
      <c r="C175" t="s">
        <v>494</v>
      </c>
      <c r="D175" s="9">
        <v>43021</v>
      </c>
      <c r="E175" s="9">
        <v>43023</v>
      </c>
      <c r="F175">
        <v>409</v>
      </c>
      <c r="G175">
        <v>-1</v>
      </c>
      <c r="H175">
        <v>60</v>
      </c>
      <c r="I175" t="s">
        <v>495</v>
      </c>
      <c r="J175">
        <v>60001</v>
      </c>
      <c r="K175" t="s">
        <v>18</v>
      </c>
      <c r="L175" t="s">
        <v>903</v>
      </c>
      <c r="M175" t="s">
        <v>903</v>
      </c>
      <c r="N175" t="s">
        <v>904</v>
      </c>
      <c r="O175" s="14">
        <v>10247</v>
      </c>
      <c r="P175" t="s">
        <v>905</v>
      </c>
      <c r="Q175" s="15" t="s">
        <v>849</v>
      </c>
      <c r="R175" s="15" t="s">
        <v>848</v>
      </c>
      <c r="S175" t="s">
        <v>494</v>
      </c>
      <c r="T175" s="9">
        <v>43021</v>
      </c>
      <c r="U175" s="9">
        <v>43023</v>
      </c>
      <c r="V175" s="12">
        <v>409</v>
      </c>
      <c r="W175" s="12">
        <v>60</v>
      </c>
      <c r="X175" s="17">
        <v>0.25</v>
      </c>
      <c r="Y175">
        <v>87.25</v>
      </c>
      <c r="Z175" s="12">
        <v>147.25</v>
      </c>
      <c r="AA175" s="12">
        <v>23.510504201680675</v>
      </c>
      <c r="AB175" s="12">
        <v>201.75</v>
      </c>
      <c r="AF175" s="18">
        <f t="shared" si="2"/>
        <v>0</v>
      </c>
    </row>
    <row r="176" spans="1:32" customFormat="1" x14ac:dyDescent="0.25">
      <c r="A176" t="s">
        <v>11</v>
      </c>
      <c r="B176" t="s">
        <v>69</v>
      </c>
      <c r="C176" t="s">
        <v>496</v>
      </c>
      <c r="D176" s="9">
        <v>43021</v>
      </c>
      <c r="E176" s="9">
        <v>43023</v>
      </c>
      <c r="F176">
        <v>215</v>
      </c>
      <c r="H176">
        <v>40</v>
      </c>
      <c r="I176" t="s">
        <v>497</v>
      </c>
      <c r="J176">
        <v>10098</v>
      </c>
      <c r="K176" t="s">
        <v>11</v>
      </c>
      <c r="L176" t="s">
        <v>869</v>
      </c>
      <c r="M176" t="s">
        <v>869</v>
      </c>
      <c r="N176" t="s">
        <v>870</v>
      </c>
      <c r="O176" s="14">
        <v>80469</v>
      </c>
      <c r="P176" t="s">
        <v>871</v>
      </c>
      <c r="Q176" s="15" t="s">
        <v>848</v>
      </c>
      <c r="R176" s="15" t="s">
        <v>849</v>
      </c>
      <c r="S176" t="s">
        <v>496</v>
      </c>
      <c r="T176" s="9">
        <v>43021</v>
      </c>
      <c r="U176" s="9">
        <v>43023</v>
      </c>
      <c r="V176" s="12">
        <v>215</v>
      </c>
      <c r="W176" s="12">
        <v>40</v>
      </c>
      <c r="X176" s="17">
        <v>0.25</v>
      </c>
      <c r="Y176">
        <v>43.75</v>
      </c>
      <c r="Z176" s="12">
        <v>83.75</v>
      </c>
      <c r="AA176" s="12">
        <v>13.3718487394958</v>
      </c>
      <c r="AB176" s="12">
        <v>91.25</v>
      </c>
      <c r="AF176" s="18">
        <f t="shared" si="2"/>
        <v>0</v>
      </c>
    </row>
    <row r="177" spans="1:32" customFormat="1" x14ac:dyDescent="0.25">
      <c r="A177" t="s">
        <v>18</v>
      </c>
      <c r="B177" t="s">
        <v>177</v>
      </c>
      <c r="C177" t="s">
        <v>498</v>
      </c>
      <c r="D177" s="9">
        <v>43021</v>
      </c>
      <c r="E177" s="9">
        <v>43023</v>
      </c>
      <c r="F177">
        <v>154</v>
      </c>
      <c r="G177">
        <v>1</v>
      </c>
      <c r="H177">
        <v>50</v>
      </c>
      <c r="I177" t="s">
        <v>499</v>
      </c>
      <c r="J177">
        <v>60032</v>
      </c>
      <c r="K177" t="s">
        <v>18</v>
      </c>
      <c r="L177" t="s">
        <v>924</v>
      </c>
      <c r="M177" t="s">
        <v>924</v>
      </c>
      <c r="N177" t="s">
        <v>925</v>
      </c>
      <c r="O177" s="14">
        <v>10405</v>
      </c>
      <c r="P177" t="s">
        <v>926</v>
      </c>
      <c r="Q177" s="15" t="s">
        <v>848</v>
      </c>
      <c r="R177" s="15" t="s">
        <v>849</v>
      </c>
      <c r="S177" t="s">
        <v>498</v>
      </c>
      <c r="T177" s="9">
        <v>43021</v>
      </c>
      <c r="U177" s="9">
        <v>43023</v>
      </c>
      <c r="V177" s="12">
        <v>154</v>
      </c>
      <c r="W177" s="12">
        <v>50</v>
      </c>
      <c r="X177" s="17">
        <v>0.25</v>
      </c>
      <c r="Y177">
        <v>26</v>
      </c>
      <c r="Z177" s="12">
        <v>76</v>
      </c>
      <c r="AA177" s="12">
        <v>12.134453781512605</v>
      </c>
      <c r="AB177" s="12">
        <v>28</v>
      </c>
      <c r="AF177" s="18">
        <f t="shared" si="2"/>
        <v>0</v>
      </c>
    </row>
    <row r="178" spans="1:32" customFormat="1" x14ac:dyDescent="0.25">
      <c r="A178" t="s">
        <v>38</v>
      </c>
      <c r="B178" t="s">
        <v>334</v>
      </c>
      <c r="C178" t="s">
        <v>500</v>
      </c>
      <c r="D178" s="9">
        <v>43021</v>
      </c>
      <c r="E178" s="9">
        <v>43024</v>
      </c>
      <c r="F178">
        <v>265</v>
      </c>
      <c r="G178">
        <v>1</v>
      </c>
      <c r="H178">
        <v>45</v>
      </c>
      <c r="I178" t="s">
        <v>501</v>
      </c>
      <c r="J178">
        <v>40032</v>
      </c>
      <c r="K178" t="s">
        <v>38</v>
      </c>
      <c r="L178" t="s">
        <v>1022</v>
      </c>
      <c r="M178" t="s">
        <v>1022</v>
      </c>
      <c r="N178" t="s">
        <v>1023</v>
      </c>
      <c r="O178" s="14" t="s">
        <v>1024</v>
      </c>
      <c r="P178" t="s">
        <v>1025</v>
      </c>
      <c r="Q178" s="15" t="s">
        <v>848</v>
      </c>
      <c r="R178" s="15" t="s">
        <v>849</v>
      </c>
      <c r="S178" t="s">
        <v>500</v>
      </c>
      <c r="T178" s="9">
        <v>43021</v>
      </c>
      <c r="U178" s="9">
        <v>43024</v>
      </c>
      <c r="V178" s="12">
        <v>265</v>
      </c>
      <c r="W178" s="12">
        <v>45</v>
      </c>
      <c r="X178" s="17">
        <v>0.25</v>
      </c>
      <c r="Y178">
        <v>55</v>
      </c>
      <c r="Z178" s="12">
        <v>100</v>
      </c>
      <c r="AA178" s="12">
        <v>15.966386554621849</v>
      </c>
      <c r="AB178" s="12">
        <v>120</v>
      </c>
      <c r="AF178" s="18">
        <f t="shared" si="2"/>
        <v>0</v>
      </c>
    </row>
    <row r="179" spans="1:32" customFormat="1" x14ac:dyDescent="0.25">
      <c r="A179" t="s">
        <v>11</v>
      </c>
      <c r="B179" t="s">
        <v>322</v>
      </c>
      <c r="C179" t="s">
        <v>502</v>
      </c>
      <c r="D179" s="9">
        <v>43021</v>
      </c>
      <c r="E179" s="9">
        <v>43023</v>
      </c>
      <c r="F179">
        <v>211</v>
      </c>
      <c r="H179">
        <v>50</v>
      </c>
      <c r="I179" t="s">
        <v>503</v>
      </c>
      <c r="J179">
        <v>10106</v>
      </c>
      <c r="K179" t="s">
        <v>11</v>
      </c>
      <c r="L179" t="s">
        <v>322</v>
      </c>
      <c r="M179" t="s">
        <v>322</v>
      </c>
      <c r="N179" t="s">
        <v>1011</v>
      </c>
      <c r="O179" s="14">
        <v>80803</v>
      </c>
      <c r="P179" t="s">
        <v>1012</v>
      </c>
      <c r="Q179" s="15" t="s">
        <v>848</v>
      </c>
      <c r="R179" s="15" t="s">
        <v>849</v>
      </c>
      <c r="S179" t="s">
        <v>502</v>
      </c>
      <c r="T179" s="9">
        <v>43021</v>
      </c>
      <c r="U179" s="9">
        <v>43023</v>
      </c>
      <c r="V179" s="12">
        <v>211</v>
      </c>
      <c r="W179" s="12">
        <v>50</v>
      </c>
      <c r="X179" s="17">
        <v>0.25</v>
      </c>
      <c r="Y179">
        <v>40.25</v>
      </c>
      <c r="Z179" s="12">
        <v>90.25</v>
      </c>
      <c r="AA179" s="12">
        <v>14.409663865546218</v>
      </c>
      <c r="AB179" s="12">
        <v>70.75</v>
      </c>
      <c r="AF179" s="18">
        <f t="shared" si="2"/>
        <v>0</v>
      </c>
    </row>
    <row r="180" spans="1:32" customFormat="1" x14ac:dyDescent="0.25">
      <c r="A180" t="s">
        <v>12</v>
      </c>
      <c r="B180" t="s">
        <v>36</v>
      </c>
      <c r="C180" t="s">
        <v>504</v>
      </c>
      <c r="D180" s="9">
        <v>43021</v>
      </c>
      <c r="E180" s="9">
        <v>43023</v>
      </c>
      <c r="F180">
        <v>170</v>
      </c>
      <c r="H180">
        <v>35</v>
      </c>
      <c r="I180" t="s">
        <v>505</v>
      </c>
      <c r="J180">
        <v>50034</v>
      </c>
      <c r="K180" t="s">
        <v>12</v>
      </c>
      <c r="L180" t="s">
        <v>36</v>
      </c>
      <c r="M180" t="s">
        <v>36</v>
      </c>
      <c r="N180" t="s">
        <v>976</v>
      </c>
      <c r="O180" s="14">
        <v>22763</v>
      </c>
      <c r="P180" t="s">
        <v>977</v>
      </c>
      <c r="Q180" s="15" t="s">
        <v>848</v>
      </c>
      <c r="R180" s="15" t="s">
        <v>849</v>
      </c>
      <c r="S180" t="s">
        <v>504</v>
      </c>
      <c r="T180" s="9">
        <v>43021</v>
      </c>
      <c r="U180" s="9">
        <v>43023</v>
      </c>
      <c r="V180" s="12">
        <v>170</v>
      </c>
      <c r="W180" s="12">
        <v>35</v>
      </c>
      <c r="X180" s="17">
        <v>0.25</v>
      </c>
      <c r="Y180">
        <v>33.75</v>
      </c>
      <c r="Z180" s="12">
        <v>68.75</v>
      </c>
      <c r="AA180" s="12">
        <v>10.97689075630252</v>
      </c>
      <c r="AB180" s="12">
        <v>66.25</v>
      </c>
      <c r="AF180" s="18">
        <f t="shared" si="2"/>
        <v>0</v>
      </c>
    </row>
    <row r="181" spans="1:32" customFormat="1" x14ac:dyDescent="0.25">
      <c r="A181" t="s">
        <v>18</v>
      </c>
      <c r="B181" t="s">
        <v>282</v>
      </c>
      <c r="C181" t="s">
        <v>506</v>
      </c>
      <c r="D181" s="9">
        <v>43021</v>
      </c>
      <c r="E181" s="9">
        <v>43024</v>
      </c>
      <c r="F181">
        <v>190</v>
      </c>
      <c r="H181">
        <v>55</v>
      </c>
      <c r="I181" t="s">
        <v>507</v>
      </c>
      <c r="J181">
        <v>60029</v>
      </c>
      <c r="K181" t="s">
        <v>18</v>
      </c>
      <c r="L181" t="s">
        <v>989</v>
      </c>
      <c r="M181" t="s">
        <v>989</v>
      </c>
      <c r="N181" t="s">
        <v>990</v>
      </c>
      <c r="O181" s="14">
        <v>10247</v>
      </c>
      <c r="P181" t="s">
        <v>991</v>
      </c>
      <c r="Q181" s="15" t="s">
        <v>849</v>
      </c>
      <c r="R181" s="15" t="s">
        <v>848</v>
      </c>
      <c r="S181" t="s">
        <v>506</v>
      </c>
      <c r="T181" s="9">
        <v>43021</v>
      </c>
      <c r="U181" s="9">
        <v>43024</v>
      </c>
      <c r="V181" s="12">
        <v>190</v>
      </c>
      <c r="W181" s="12">
        <v>55</v>
      </c>
      <c r="X181" s="17">
        <v>0.25</v>
      </c>
      <c r="Y181">
        <v>33.75</v>
      </c>
      <c r="Z181" s="12">
        <v>88.75</v>
      </c>
      <c r="AA181" s="12">
        <v>14.170168067226891</v>
      </c>
      <c r="AB181" s="12">
        <v>46.25</v>
      </c>
      <c r="AF181" s="18">
        <f t="shared" si="2"/>
        <v>0</v>
      </c>
    </row>
    <row r="182" spans="1:32" customFormat="1" x14ac:dyDescent="0.25">
      <c r="A182" t="s">
        <v>31</v>
      </c>
      <c r="B182" t="s">
        <v>32</v>
      </c>
      <c r="C182" t="s">
        <v>508</v>
      </c>
      <c r="D182" s="9">
        <v>43022</v>
      </c>
      <c r="E182" s="9">
        <v>43024</v>
      </c>
      <c r="F182">
        <v>186</v>
      </c>
      <c r="H182">
        <v>30</v>
      </c>
      <c r="I182" t="s">
        <v>509</v>
      </c>
      <c r="J182">
        <v>40030</v>
      </c>
      <c r="K182" t="s">
        <v>31</v>
      </c>
      <c r="L182" t="s">
        <v>879</v>
      </c>
      <c r="M182" t="s">
        <v>880</v>
      </c>
      <c r="N182" t="s">
        <v>881</v>
      </c>
      <c r="O182" s="14">
        <v>50670</v>
      </c>
      <c r="P182" t="s">
        <v>882</v>
      </c>
      <c r="Q182" s="15" t="s">
        <v>849</v>
      </c>
      <c r="R182" s="15" t="s">
        <v>848</v>
      </c>
      <c r="S182" t="s">
        <v>508</v>
      </c>
      <c r="T182" s="9">
        <v>43022</v>
      </c>
      <c r="U182" s="9">
        <v>43024</v>
      </c>
      <c r="V182" s="12">
        <v>186</v>
      </c>
      <c r="W182" s="12">
        <v>30</v>
      </c>
      <c r="X182" s="17">
        <v>0.2</v>
      </c>
      <c r="Y182">
        <v>31.200000000000003</v>
      </c>
      <c r="Z182" s="12">
        <v>61.2</v>
      </c>
      <c r="AA182" s="12">
        <v>9.7714285714285722</v>
      </c>
      <c r="AB182" s="12">
        <v>94.8</v>
      </c>
      <c r="AF182" s="18">
        <f t="shared" si="2"/>
        <v>0</v>
      </c>
    </row>
    <row r="183" spans="1:32" customFormat="1" x14ac:dyDescent="0.25">
      <c r="A183" t="s">
        <v>11</v>
      </c>
      <c r="B183" t="s">
        <v>40</v>
      </c>
      <c r="C183" t="s">
        <v>510</v>
      </c>
      <c r="D183" s="9">
        <v>43022</v>
      </c>
      <c r="E183" s="9">
        <v>43025</v>
      </c>
      <c r="F183">
        <v>357</v>
      </c>
      <c r="H183">
        <v>35</v>
      </c>
      <c r="I183" t="s">
        <v>511</v>
      </c>
      <c r="J183">
        <v>10018</v>
      </c>
      <c r="K183" t="s">
        <v>11</v>
      </c>
      <c r="L183" t="s">
        <v>944</v>
      </c>
      <c r="M183" t="s">
        <v>944</v>
      </c>
      <c r="N183" t="s">
        <v>945</v>
      </c>
      <c r="O183" s="14">
        <v>80803</v>
      </c>
      <c r="P183" t="s">
        <v>946</v>
      </c>
      <c r="Q183" s="15" t="s">
        <v>849</v>
      </c>
      <c r="R183" s="15" t="s">
        <v>848</v>
      </c>
      <c r="S183" t="s">
        <v>510</v>
      </c>
      <c r="T183" s="9">
        <v>43022</v>
      </c>
      <c r="U183" s="9">
        <v>43025</v>
      </c>
      <c r="V183" s="12">
        <v>357</v>
      </c>
      <c r="W183" s="12">
        <v>35</v>
      </c>
      <c r="X183" s="17">
        <v>0.25</v>
      </c>
      <c r="Y183">
        <v>80.5</v>
      </c>
      <c r="Z183" s="12">
        <v>115.5</v>
      </c>
      <c r="AA183" s="12">
        <v>18.441176470588236</v>
      </c>
      <c r="AB183" s="12">
        <v>206.5</v>
      </c>
      <c r="AF183" s="18">
        <f t="shared" si="2"/>
        <v>0</v>
      </c>
    </row>
    <row r="184" spans="1:32" customFormat="1" x14ac:dyDescent="0.25">
      <c r="A184" t="s">
        <v>15</v>
      </c>
      <c r="B184" t="s">
        <v>116</v>
      </c>
      <c r="C184" t="s">
        <v>512</v>
      </c>
      <c r="D184" s="9">
        <v>43022</v>
      </c>
      <c r="E184" s="9">
        <v>43027</v>
      </c>
      <c r="F184">
        <v>681</v>
      </c>
      <c r="H184">
        <v>50</v>
      </c>
      <c r="I184" t="s">
        <v>513</v>
      </c>
      <c r="J184">
        <v>30026</v>
      </c>
      <c r="K184" t="s">
        <v>15</v>
      </c>
      <c r="L184" t="s">
        <v>116</v>
      </c>
      <c r="M184" t="s">
        <v>116</v>
      </c>
      <c r="N184" t="s">
        <v>860</v>
      </c>
      <c r="O184" s="14">
        <v>40235</v>
      </c>
      <c r="P184" t="s">
        <v>861</v>
      </c>
      <c r="Q184" s="15" t="s">
        <v>848</v>
      </c>
      <c r="R184" s="15" t="s">
        <v>849</v>
      </c>
      <c r="S184" t="s">
        <v>512</v>
      </c>
      <c r="T184" s="9">
        <v>43022</v>
      </c>
      <c r="U184" s="9">
        <v>43027</v>
      </c>
      <c r="V184" s="12">
        <v>681</v>
      </c>
      <c r="W184" s="12">
        <v>50</v>
      </c>
      <c r="X184" s="17">
        <v>0.25</v>
      </c>
      <c r="Y184">
        <v>157.75</v>
      </c>
      <c r="Z184" s="12">
        <v>207.75</v>
      </c>
      <c r="AA184" s="12">
        <v>33.170168067226889</v>
      </c>
      <c r="AB184" s="12">
        <v>423.25</v>
      </c>
      <c r="AF184" s="18">
        <f t="shared" si="2"/>
        <v>0</v>
      </c>
    </row>
    <row r="185" spans="1:32" customFormat="1" x14ac:dyDescent="0.25">
      <c r="A185" t="s">
        <v>12</v>
      </c>
      <c r="B185" t="s">
        <v>202</v>
      </c>
      <c r="C185" t="s">
        <v>514</v>
      </c>
      <c r="D185" s="9">
        <v>43022</v>
      </c>
      <c r="E185" s="9">
        <v>43026</v>
      </c>
      <c r="F185">
        <v>309</v>
      </c>
      <c r="G185" t="s">
        <v>515</v>
      </c>
      <c r="H185">
        <v>50</v>
      </c>
      <c r="I185" t="s">
        <v>516</v>
      </c>
      <c r="J185">
        <v>50039</v>
      </c>
      <c r="K185" t="s">
        <v>12</v>
      </c>
      <c r="L185" t="s">
        <v>953</v>
      </c>
      <c r="M185" t="s">
        <v>953</v>
      </c>
      <c r="N185" t="s">
        <v>954</v>
      </c>
      <c r="O185" s="14">
        <v>24837</v>
      </c>
      <c r="P185" t="s">
        <v>955</v>
      </c>
      <c r="Q185" s="15" t="s">
        <v>848</v>
      </c>
      <c r="R185" s="15" t="s">
        <v>849</v>
      </c>
      <c r="S185" t="s">
        <v>514</v>
      </c>
      <c r="T185" s="9">
        <v>43022</v>
      </c>
      <c r="U185" s="9">
        <v>43026</v>
      </c>
      <c r="V185" s="12">
        <v>309</v>
      </c>
      <c r="W185" s="12">
        <v>50</v>
      </c>
      <c r="X185" s="17">
        <v>0.25</v>
      </c>
      <c r="Y185">
        <v>64.75</v>
      </c>
      <c r="Z185" s="12">
        <v>114.75</v>
      </c>
      <c r="AA185" s="12">
        <v>18.321428571428573</v>
      </c>
      <c r="AB185" s="12">
        <v>144.25</v>
      </c>
      <c r="AF185" s="18">
        <f t="shared" si="2"/>
        <v>0</v>
      </c>
    </row>
    <row r="186" spans="1:32" customFormat="1" x14ac:dyDescent="0.25">
      <c r="A186" t="s">
        <v>11</v>
      </c>
      <c r="B186" t="s">
        <v>58</v>
      </c>
      <c r="C186" t="s">
        <v>517</v>
      </c>
      <c r="D186" s="9">
        <v>43022</v>
      </c>
      <c r="E186" s="9">
        <v>43025</v>
      </c>
      <c r="F186">
        <v>288</v>
      </c>
      <c r="G186">
        <v>1</v>
      </c>
      <c r="H186">
        <v>50</v>
      </c>
      <c r="I186" t="s">
        <v>518</v>
      </c>
      <c r="J186">
        <v>10043</v>
      </c>
      <c r="K186" t="s">
        <v>11</v>
      </c>
      <c r="L186" t="s">
        <v>973</v>
      </c>
      <c r="M186" t="s">
        <v>973</v>
      </c>
      <c r="N186" t="s">
        <v>974</v>
      </c>
      <c r="O186" s="14">
        <v>80469</v>
      </c>
      <c r="P186" t="s">
        <v>975</v>
      </c>
      <c r="Q186" s="15" t="s">
        <v>849</v>
      </c>
      <c r="R186" s="15" t="s">
        <v>848</v>
      </c>
      <c r="S186" t="s">
        <v>517</v>
      </c>
      <c r="T186" s="9">
        <v>43022</v>
      </c>
      <c r="U186" s="9">
        <v>43025</v>
      </c>
      <c r="V186" s="12">
        <v>288</v>
      </c>
      <c r="W186" s="12">
        <v>50</v>
      </c>
      <c r="X186" s="17">
        <v>0.2</v>
      </c>
      <c r="Y186">
        <v>47.6</v>
      </c>
      <c r="Z186" s="12">
        <v>97.6</v>
      </c>
      <c r="AA186" s="12">
        <v>15.583193277310924</v>
      </c>
      <c r="AB186" s="12">
        <v>140.4</v>
      </c>
      <c r="AF186" s="18">
        <f t="shared" si="2"/>
        <v>0</v>
      </c>
    </row>
    <row r="187" spans="1:32" customFormat="1" x14ac:dyDescent="0.25">
      <c r="A187" t="s">
        <v>11</v>
      </c>
      <c r="B187" t="s">
        <v>54</v>
      </c>
      <c r="C187" t="s">
        <v>519</v>
      </c>
      <c r="D187" s="9">
        <v>43022</v>
      </c>
      <c r="E187" s="9">
        <v>43029</v>
      </c>
      <c r="F187">
        <v>415</v>
      </c>
      <c r="G187">
        <v>1</v>
      </c>
      <c r="H187">
        <v>35</v>
      </c>
      <c r="I187" t="s">
        <v>520</v>
      </c>
      <c r="J187">
        <v>10095</v>
      </c>
      <c r="K187" t="s">
        <v>11</v>
      </c>
      <c r="L187" t="s">
        <v>900</v>
      </c>
      <c r="M187" t="s">
        <v>900</v>
      </c>
      <c r="N187" t="s">
        <v>901</v>
      </c>
      <c r="O187" s="14">
        <v>80337</v>
      </c>
      <c r="P187" t="s">
        <v>902</v>
      </c>
      <c r="Q187" s="15" t="s">
        <v>848</v>
      </c>
      <c r="R187" s="15" t="s">
        <v>849</v>
      </c>
      <c r="S187" t="s">
        <v>519</v>
      </c>
      <c r="T187" s="9">
        <v>43022</v>
      </c>
      <c r="U187" s="9">
        <v>43029</v>
      </c>
      <c r="V187" s="12">
        <v>415</v>
      </c>
      <c r="W187" s="12">
        <v>35</v>
      </c>
      <c r="X187" s="17">
        <v>0.25</v>
      </c>
      <c r="Y187">
        <v>95</v>
      </c>
      <c r="Z187" s="12">
        <v>130</v>
      </c>
      <c r="AA187" s="12">
        <v>20.756302521008401</v>
      </c>
      <c r="AB187" s="12">
        <v>250</v>
      </c>
      <c r="AF187" s="18">
        <f t="shared" si="2"/>
        <v>0</v>
      </c>
    </row>
    <row r="188" spans="1:32" customFormat="1" x14ac:dyDescent="0.25">
      <c r="A188" t="s">
        <v>15</v>
      </c>
      <c r="B188" t="s">
        <v>47</v>
      </c>
      <c r="C188" t="s">
        <v>521</v>
      </c>
      <c r="D188" s="9">
        <v>43023</v>
      </c>
      <c r="E188" s="9">
        <v>43031</v>
      </c>
      <c r="F188">
        <v>710</v>
      </c>
      <c r="G188">
        <v>2</v>
      </c>
      <c r="H188">
        <v>35</v>
      </c>
      <c r="I188" t="s">
        <v>522</v>
      </c>
      <c r="J188">
        <v>30017</v>
      </c>
      <c r="K188" t="s">
        <v>15</v>
      </c>
      <c r="L188" t="s">
        <v>864</v>
      </c>
      <c r="M188" t="s">
        <v>864</v>
      </c>
      <c r="N188" t="s">
        <v>865</v>
      </c>
      <c r="O188" s="14">
        <v>40227</v>
      </c>
      <c r="P188" t="s">
        <v>866</v>
      </c>
      <c r="Q188" s="15" t="s">
        <v>848</v>
      </c>
      <c r="R188" s="15" t="s">
        <v>849</v>
      </c>
      <c r="S188" t="s">
        <v>521</v>
      </c>
      <c r="T188" s="9">
        <v>43023</v>
      </c>
      <c r="U188" s="9">
        <v>43031</v>
      </c>
      <c r="V188" s="12">
        <v>710</v>
      </c>
      <c r="W188" s="12">
        <v>35</v>
      </c>
      <c r="X188" s="17">
        <v>0.25</v>
      </c>
      <c r="Y188">
        <v>168.75</v>
      </c>
      <c r="Z188" s="12">
        <v>203.75</v>
      </c>
      <c r="AA188" s="12">
        <v>32.531512605042018</v>
      </c>
      <c r="AB188" s="12">
        <v>471.25</v>
      </c>
      <c r="AF188" s="18">
        <f t="shared" si="2"/>
        <v>0</v>
      </c>
    </row>
    <row r="189" spans="1:32" customFormat="1" x14ac:dyDescent="0.25">
      <c r="A189" t="s">
        <v>12</v>
      </c>
      <c r="B189" t="s">
        <v>36</v>
      </c>
      <c r="C189" t="s">
        <v>523</v>
      </c>
      <c r="D189" s="9">
        <v>43023</v>
      </c>
      <c r="E189" s="9">
        <v>43036</v>
      </c>
      <c r="F189">
        <v>1139</v>
      </c>
      <c r="G189">
        <v>1</v>
      </c>
      <c r="H189">
        <v>35</v>
      </c>
      <c r="I189" t="s">
        <v>524</v>
      </c>
      <c r="J189">
        <v>50034</v>
      </c>
      <c r="K189" t="s">
        <v>12</v>
      </c>
      <c r="L189" t="s">
        <v>36</v>
      </c>
      <c r="M189" t="s">
        <v>36</v>
      </c>
      <c r="N189" t="s">
        <v>976</v>
      </c>
      <c r="O189" s="14">
        <v>22763</v>
      </c>
      <c r="P189" t="s">
        <v>977</v>
      </c>
      <c r="Q189" s="15" t="s">
        <v>848</v>
      </c>
      <c r="R189" s="15" t="s">
        <v>849</v>
      </c>
      <c r="S189" t="s">
        <v>523</v>
      </c>
      <c r="T189" s="9">
        <v>43023</v>
      </c>
      <c r="U189" s="9">
        <v>43036</v>
      </c>
      <c r="V189" s="12">
        <v>1139</v>
      </c>
      <c r="W189" s="12">
        <v>35</v>
      </c>
      <c r="X189" s="17">
        <v>0.25</v>
      </c>
      <c r="Y189">
        <v>276</v>
      </c>
      <c r="Z189" s="12">
        <v>311</v>
      </c>
      <c r="AA189" s="12">
        <v>49.655462184873947</v>
      </c>
      <c r="AB189" s="12">
        <v>793</v>
      </c>
      <c r="AF189" s="18">
        <f t="shared" si="2"/>
        <v>0</v>
      </c>
    </row>
    <row r="190" spans="1:32" customFormat="1" x14ac:dyDescent="0.25">
      <c r="A190" t="s">
        <v>15</v>
      </c>
      <c r="B190" t="s">
        <v>19</v>
      </c>
      <c r="C190" t="s">
        <v>20</v>
      </c>
      <c r="D190" s="9">
        <v>43023</v>
      </c>
      <c r="E190" s="9">
        <v>43028</v>
      </c>
      <c r="F190">
        <v>516</v>
      </c>
      <c r="G190">
        <v>1</v>
      </c>
      <c r="H190">
        <v>35</v>
      </c>
      <c r="I190" t="s">
        <v>525</v>
      </c>
      <c r="J190">
        <v>30019</v>
      </c>
      <c r="K190" t="s">
        <v>15</v>
      </c>
      <c r="L190" t="s">
        <v>927</v>
      </c>
      <c r="M190" t="s">
        <v>927</v>
      </c>
      <c r="N190" t="s">
        <v>928</v>
      </c>
      <c r="O190" s="14">
        <v>40476</v>
      </c>
      <c r="P190" t="s">
        <v>929</v>
      </c>
      <c r="Q190" s="15" t="s">
        <v>848</v>
      </c>
      <c r="R190" s="15" t="s">
        <v>849</v>
      </c>
      <c r="S190" t="s">
        <v>20</v>
      </c>
      <c r="T190" s="9">
        <v>43023</v>
      </c>
      <c r="U190" s="9">
        <v>43028</v>
      </c>
      <c r="V190" s="12">
        <v>516</v>
      </c>
      <c r="W190" s="12">
        <v>35</v>
      </c>
      <c r="X190" s="17">
        <v>0.25</v>
      </c>
      <c r="Y190">
        <v>120.25</v>
      </c>
      <c r="Z190" s="12">
        <v>155.25</v>
      </c>
      <c r="AA190" s="12">
        <v>24.787815126050422</v>
      </c>
      <c r="AB190" s="12">
        <v>325.75</v>
      </c>
      <c r="AF190" s="18">
        <f t="shared" si="2"/>
        <v>0</v>
      </c>
    </row>
    <row r="191" spans="1:32" customFormat="1" x14ac:dyDescent="0.25">
      <c r="A191" t="s">
        <v>15</v>
      </c>
      <c r="B191" t="s">
        <v>366</v>
      </c>
      <c r="C191" t="s">
        <v>526</v>
      </c>
      <c r="D191" s="9">
        <v>43023</v>
      </c>
      <c r="E191" s="9">
        <v>43029</v>
      </c>
      <c r="F191">
        <v>796</v>
      </c>
      <c r="G191">
        <v>2</v>
      </c>
      <c r="H191">
        <v>45</v>
      </c>
      <c r="I191" t="s">
        <v>527</v>
      </c>
      <c r="J191">
        <v>30037</v>
      </c>
      <c r="K191" t="s">
        <v>15</v>
      </c>
      <c r="L191" t="s">
        <v>1036</v>
      </c>
      <c r="M191" t="s">
        <v>1037</v>
      </c>
      <c r="N191" t="s">
        <v>1038</v>
      </c>
      <c r="O191" s="14">
        <v>40213</v>
      </c>
      <c r="P191" t="s">
        <v>1039</v>
      </c>
      <c r="Q191" s="15" t="s">
        <v>848</v>
      </c>
      <c r="R191" s="15" t="s">
        <v>849</v>
      </c>
      <c r="S191" t="s">
        <v>526</v>
      </c>
      <c r="T191" s="9">
        <v>43023</v>
      </c>
      <c r="U191" s="9">
        <v>43029</v>
      </c>
      <c r="V191" s="12">
        <v>796</v>
      </c>
      <c r="W191" s="12">
        <v>45</v>
      </c>
      <c r="X191" s="17">
        <v>0.25</v>
      </c>
      <c r="Y191">
        <v>187.75</v>
      </c>
      <c r="Z191" s="12">
        <v>232.75</v>
      </c>
      <c r="AA191" s="12">
        <v>37.161764705882355</v>
      </c>
      <c r="AB191" s="12">
        <v>518.25</v>
      </c>
      <c r="AF191" s="18">
        <f t="shared" si="2"/>
        <v>0</v>
      </c>
    </row>
    <row r="192" spans="1:32" customFormat="1" x14ac:dyDescent="0.25">
      <c r="A192" t="s">
        <v>15</v>
      </c>
      <c r="B192" t="s">
        <v>74</v>
      </c>
      <c r="C192" t="s">
        <v>528</v>
      </c>
      <c r="D192" s="9">
        <v>43023</v>
      </c>
      <c r="E192" s="9">
        <v>43027</v>
      </c>
      <c r="F192">
        <v>183</v>
      </c>
      <c r="G192" t="s">
        <v>529</v>
      </c>
      <c r="H192">
        <v>30</v>
      </c>
      <c r="I192" t="s">
        <v>530</v>
      </c>
      <c r="J192">
        <v>30004</v>
      </c>
      <c r="K192" t="s">
        <v>15</v>
      </c>
      <c r="L192" t="s">
        <v>1088</v>
      </c>
      <c r="M192" t="s">
        <v>1088</v>
      </c>
      <c r="N192" t="s">
        <v>1089</v>
      </c>
      <c r="O192" s="14">
        <v>40231</v>
      </c>
      <c r="P192" t="s">
        <v>1090</v>
      </c>
      <c r="Q192" s="15" t="s">
        <v>848</v>
      </c>
      <c r="R192" s="15" t="s">
        <v>849</v>
      </c>
      <c r="S192" t="s">
        <v>528</v>
      </c>
      <c r="T192" s="9">
        <v>43023</v>
      </c>
      <c r="U192" s="9">
        <v>43027</v>
      </c>
      <c r="V192" s="12">
        <v>183</v>
      </c>
      <c r="W192" s="12">
        <v>30</v>
      </c>
      <c r="X192" s="17">
        <v>0.25</v>
      </c>
      <c r="Y192">
        <v>38.25</v>
      </c>
      <c r="Z192" s="12">
        <v>68.25</v>
      </c>
      <c r="AA192" s="12">
        <v>10.897058823529411</v>
      </c>
      <c r="AB192" s="12">
        <v>84.75</v>
      </c>
      <c r="AF192" s="18">
        <f t="shared" si="2"/>
        <v>0</v>
      </c>
    </row>
    <row r="193" spans="1:32" customFormat="1" x14ac:dyDescent="0.25">
      <c r="A193" t="s">
        <v>15</v>
      </c>
      <c r="B193" t="s">
        <v>57</v>
      </c>
      <c r="C193" t="s">
        <v>531</v>
      </c>
      <c r="D193" s="9">
        <v>43023</v>
      </c>
      <c r="E193" s="9">
        <v>43027</v>
      </c>
      <c r="F193">
        <v>384</v>
      </c>
      <c r="G193" t="s">
        <v>532</v>
      </c>
      <c r="H193">
        <v>35</v>
      </c>
      <c r="I193" t="s">
        <v>533</v>
      </c>
      <c r="J193">
        <v>30014</v>
      </c>
      <c r="K193" t="s">
        <v>15</v>
      </c>
      <c r="L193" t="s">
        <v>57</v>
      </c>
      <c r="M193" t="s">
        <v>57</v>
      </c>
      <c r="N193" t="s">
        <v>1048</v>
      </c>
      <c r="O193" s="14">
        <v>40477</v>
      </c>
      <c r="P193" t="s">
        <v>1049</v>
      </c>
      <c r="Q193" s="15" t="s">
        <v>849</v>
      </c>
      <c r="R193" s="15" t="s">
        <v>848</v>
      </c>
      <c r="S193" t="s">
        <v>531</v>
      </c>
      <c r="T193" s="9">
        <v>43023</v>
      </c>
      <c r="U193" s="9">
        <v>43027</v>
      </c>
      <c r="V193" s="12">
        <v>384</v>
      </c>
      <c r="W193" s="12">
        <v>35</v>
      </c>
      <c r="X193" s="17">
        <v>0.25</v>
      </c>
      <c r="Y193">
        <v>87.25</v>
      </c>
      <c r="Z193" s="12">
        <v>122.25</v>
      </c>
      <c r="AA193" s="12">
        <v>19.518907563025209</v>
      </c>
      <c r="AB193" s="12">
        <v>226.75</v>
      </c>
      <c r="AF193" s="18">
        <f t="shared" si="2"/>
        <v>0</v>
      </c>
    </row>
    <row r="194" spans="1:32" customFormat="1" x14ac:dyDescent="0.25">
      <c r="A194" t="s">
        <v>15</v>
      </c>
      <c r="B194" t="s">
        <v>325</v>
      </c>
      <c r="C194" t="s">
        <v>534</v>
      </c>
      <c r="D194" s="9">
        <v>43023</v>
      </c>
      <c r="E194" s="9">
        <v>43028</v>
      </c>
      <c r="F194">
        <v>466</v>
      </c>
      <c r="H194">
        <v>50</v>
      </c>
      <c r="I194" t="s">
        <v>535</v>
      </c>
      <c r="J194">
        <v>30028</v>
      </c>
      <c r="K194" t="s">
        <v>15</v>
      </c>
      <c r="L194" t="s">
        <v>1013</v>
      </c>
      <c r="M194" t="s">
        <v>1013</v>
      </c>
      <c r="N194" t="s">
        <v>1014</v>
      </c>
      <c r="O194" s="14">
        <v>82340</v>
      </c>
      <c r="P194" t="s">
        <v>1015</v>
      </c>
      <c r="Q194" s="15" t="s">
        <v>848</v>
      </c>
      <c r="R194" s="15" t="s">
        <v>849</v>
      </c>
      <c r="S194" t="s">
        <v>534</v>
      </c>
      <c r="T194" s="9">
        <v>43023</v>
      </c>
      <c r="U194" s="9">
        <v>43028</v>
      </c>
      <c r="V194" s="12">
        <v>466</v>
      </c>
      <c r="W194" s="12">
        <v>50</v>
      </c>
      <c r="X194" s="17">
        <v>0.25</v>
      </c>
      <c r="Y194">
        <v>104</v>
      </c>
      <c r="Z194" s="12">
        <v>154</v>
      </c>
      <c r="AA194" s="12">
        <v>24.588235294117649</v>
      </c>
      <c r="AB194" s="12">
        <v>262</v>
      </c>
      <c r="AF194" s="18">
        <f t="shared" si="2"/>
        <v>0</v>
      </c>
    </row>
    <row r="195" spans="1:32" customFormat="1" x14ac:dyDescent="0.25">
      <c r="A195" t="s">
        <v>11</v>
      </c>
      <c r="B195" t="s">
        <v>449</v>
      </c>
      <c r="C195" t="s">
        <v>536</v>
      </c>
      <c r="D195" s="9">
        <v>43023</v>
      </c>
      <c r="E195" s="9">
        <v>43025</v>
      </c>
      <c r="G195">
        <v>182</v>
      </c>
      <c r="H195">
        <v>55</v>
      </c>
      <c r="I195" t="s">
        <v>537</v>
      </c>
      <c r="J195">
        <v>10100</v>
      </c>
      <c r="K195" t="s">
        <v>11</v>
      </c>
      <c r="L195" t="s">
        <v>449</v>
      </c>
      <c r="M195" t="s">
        <v>449</v>
      </c>
      <c r="N195" t="s">
        <v>1072</v>
      </c>
      <c r="O195" s="14">
        <v>19124</v>
      </c>
      <c r="P195" t="s">
        <v>1073</v>
      </c>
      <c r="Q195" s="15" t="s">
        <v>849</v>
      </c>
      <c r="R195" s="15" t="s">
        <v>848</v>
      </c>
      <c r="S195" t="s">
        <v>536</v>
      </c>
      <c r="T195" s="9">
        <v>43023</v>
      </c>
      <c r="U195" s="9">
        <v>43025</v>
      </c>
      <c r="V195" s="12">
        <v>0</v>
      </c>
      <c r="W195" s="12">
        <v>55</v>
      </c>
      <c r="X195" s="17">
        <v>0.25</v>
      </c>
      <c r="Y195">
        <v>-13.75</v>
      </c>
      <c r="Z195" s="12">
        <v>41.25</v>
      </c>
      <c r="AA195" s="12">
        <v>6.5861344537815123</v>
      </c>
      <c r="AB195" s="12">
        <v>-96.25</v>
      </c>
      <c r="AF195" s="18">
        <f t="shared" ref="AF195:AF258" si="3">AE195/119*19</f>
        <v>0</v>
      </c>
    </row>
    <row r="196" spans="1:32" customFormat="1" x14ac:dyDescent="0.25">
      <c r="A196" t="s">
        <v>12</v>
      </c>
      <c r="B196" t="s">
        <v>538</v>
      </c>
      <c r="C196" t="s">
        <v>539</v>
      </c>
      <c r="D196" s="9">
        <v>43023</v>
      </c>
      <c r="E196" s="9">
        <v>43028</v>
      </c>
      <c r="F196">
        <v>362</v>
      </c>
      <c r="H196">
        <v>50</v>
      </c>
      <c r="I196" t="s">
        <v>540</v>
      </c>
      <c r="J196">
        <v>50041</v>
      </c>
      <c r="K196" t="s">
        <v>12</v>
      </c>
      <c r="L196" t="s">
        <v>538</v>
      </c>
      <c r="M196" t="s">
        <v>538</v>
      </c>
      <c r="N196" t="s">
        <v>1091</v>
      </c>
      <c r="O196" s="14">
        <v>22769</v>
      </c>
      <c r="P196" t="s">
        <v>1092</v>
      </c>
      <c r="Q196" s="15" t="s">
        <v>848</v>
      </c>
      <c r="R196" s="15" t="s">
        <v>849</v>
      </c>
      <c r="S196" t="s">
        <v>539</v>
      </c>
      <c r="T196" s="9">
        <v>43023</v>
      </c>
      <c r="U196" s="9">
        <v>43028</v>
      </c>
      <c r="V196" s="12">
        <v>362</v>
      </c>
      <c r="W196" s="12">
        <v>50</v>
      </c>
      <c r="X196" s="17">
        <v>0.25</v>
      </c>
      <c r="Y196">
        <v>78</v>
      </c>
      <c r="Z196" s="12">
        <v>128</v>
      </c>
      <c r="AA196" s="12">
        <v>20.436974789915965</v>
      </c>
      <c r="AB196" s="12">
        <v>184</v>
      </c>
      <c r="AF196" s="18">
        <f t="shared" si="3"/>
        <v>0</v>
      </c>
    </row>
    <row r="197" spans="1:32" customFormat="1" x14ac:dyDescent="0.25">
      <c r="A197" t="s">
        <v>15</v>
      </c>
      <c r="B197" t="s">
        <v>21</v>
      </c>
      <c r="C197" t="s">
        <v>541</v>
      </c>
      <c r="D197" s="9">
        <v>43024</v>
      </c>
      <c r="E197" s="9">
        <v>43029</v>
      </c>
      <c r="F197">
        <v>913</v>
      </c>
      <c r="G197">
        <v>1</v>
      </c>
      <c r="H197">
        <v>60</v>
      </c>
      <c r="I197" t="s">
        <v>542</v>
      </c>
      <c r="J197">
        <v>30009</v>
      </c>
      <c r="K197" t="s">
        <v>15</v>
      </c>
      <c r="L197" t="s">
        <v>1008</v>
      </c>
      <c r="M197" t="s">
        <v>1008</v>
      </c>
      <c r="N197" t="s">
        <v>1009</v>
      </c>
      <c r="O197" s="14">
        <v>40474</v>
      </c>
      <c r="P197" t="s">
        <v>1010</v>
      </c>
      <c r="Q197" s="15" t="s">
        <v>848</v>
      </c>
      <c r="R197" s="15" t="s">
        <v>849</v>
      </c>
      <c r="S197" t="s">
        <v>541</v>
      </c>
      <c r="T197" s="9">
        <v>43024</v>
      </c>
      <c r="U197" s="9">
        <v>43029</v>
      </c>
      <c r="V197" s="12">
        <v>913</v>
      </c>
      <c r="W197" s="12">
        <v>60</v>
      </c>
      <c r="X197" s="17">
        <v>0.25</v>
      </c>
      <c r="Y197">
        <v>213.25</v>
      </c>
      <c r="Z197" s="12">
        <v>273.25</v>
      </c>
      <c r="AA197" s="12">
        <v>43.628151260504197</v>
      </c>
      <c r="AB197" s="12">
        <v>579.75</v>
      </c>
      <c r="AF197" s="18">
        <f t="shared" si="3"/>
        <v>0</v>
      </c>
    </row>
    <row r="198" spans="1:32" customFormat="1" x14ac:dyDescent="0.25">
      <c r="A198" t="s">
        <v>15</v>
      </c>
      <c r="B198" t="s">
        <v>17</v>
      </c>
      <c r="C198" t="s">
        <v>543</v>
      </c>
      <c r="D198" s="9">
        <v>43024</v>
      </c>
      <c r="E198" s="9">
        <v>43028</v>
      </c>
      <c r="F198">
        <v>672</v>
      </c>
      <c r="G198">
        <v>1</v>
      </c>
      <c r="H198">
        <v>40</v>
      </c>
      <c r="I198" t="s">
        <v>544</v>
      </c>
      <c r="J198">
        <v>30022</v>
      </c>
      <c r="K198" t="s">
        <v>15</v>
      </c>
      <c r="L198" t="s">
        <v>892</v>
      </c>
      <c r="M198" t="s">
        <v>892</v>
      </c>
      <c r="N198" t="s">
        <v>893</v>
      </c>
      <c r="O198" s="14">
        <v>40225</v>
      </c>
      <c r="P198" t="s">
        <v>894</v>
      </c>
      <c r="Q198" s="15" t="s">
        <v>848</v>
      </c>
      <c r="R198" s="15" t="s">
        <v>849</v>
      </c>
      <c r="S198" t="s">
        <v>543</v>
      </c>
      <c r="T198" s="9">
        <v>43024</v>
      </c>
      <c r="U198" s="9">
        <v>43028</v>
      </c>
      <c r="V198" s="12">
        <v>672</v>
      </c>
      <c r="W198" s="12">
        <v>40</v>
      </c>
      <c r="X198" s="17">
        <v>0.2</v>
      </c>
      <c r="Y198">
        <v>126.4</v>
      </c>
      <c r="Z198" s="12">
        <v>166.4</v>
      </c>
      <c r="AA198" s="12">
        <v>26.568067226890758</v>
      </c>
      <c r="AB198" s="12">
        <v>465.6</v>
      </c>
      <c r="AF198" s="18">
        <f t="shared" si="3"/>
        <v>0</v>
      </c>
    </row>
    <row r="199" spans="1:32" customFormat="1" x14ac:dyDescent="0.25">
      <c r="A199" t="s">
        <v>15</v>
      </c>
      <c r="B199" t="s">
        <v>25</v>
      </c>
      <c r="C199" t="s">
        <v>545</v>
      </c>
      <c r="D199" s="9">
        <v>43024</v>
      </c>
      <c r="E199" s="9">
        <v>43026</v>
      </c>
      <c r="F199">
        <v>319</v>
      </c>
      <c r="G199" t="s">
        <v>546</v>
      </c>
      <c r="H199">
        <v>45</v>
      </c>
      <c r="I199" t="s">
        <v>547</v>
      </c>
      <c r="J199">
        <v>30023</v>
      </c>
      <c r="K199" t="s">
        <v>15</v>
      </c>
      <c r="L199" t="s">
        <v>892</v>
      </c>
      <c r="M199" t="s">
        <v>892</v>
      </c>
      <c r="N199" t="s">
        <v>893</v>
      </c>
      <c r="O199" s="14">
        <v>40225</v>
      </c>
      <c r="P199" t="s">
        <v>894</v>
      </c>
      <c r="Q199" s="15" t="s">
        <v>848</v>
      </c>
      <c r="R199" s="15" t="s">
        <v>849</v>
      </c>
      <c r="S199" t="s">
        <v>545</v>
      </c>
      <c r="T199" s="9">
        <v>43024</v>
      </c>
      <c r="U199" s="9">
        <v>43026</v>
      </c>
      <c r="V199" s="12">
        <v>319</v>
      </c>
      <c r="W199" s="12">
        <v>45</v>
      </c>
      <c r="X199" s="17">
        <v>0.2</v>
      </c>
      <c r="Y199">
        <v>54.800000000000004</v>
      </c>
      <c r="Z199" s="12">
        <v>99.800000000000011</v>
      </c>
      <c r="AA199" s="12">
        <v>15.934453781512607</v>
      </c>
      <c r="AB199" s="12">
        <v>174.2</v>
      </c>
      <c r="AF199" s="18">
        <f t="shared" si="3"/>
        <v>0</v>
      </c>
    </row>
    <row r="200" spans="1:32" customFormat="1" x14ac:dyDescent="0.25">
      <c r="A200" t="s">
        <v>11</v>
      </c>
      <c r="B200" t="s">
        <v>69</v>
      </c>
      <c r="C200" t="s">
        <v>548</v>
      </c>
      <c r="D200" s="9">
        <v>43024</v>
      </c>
      <c r="E200" s="9">
        <v>43027</v>
      </c>
      <c r="F200">
        <v>291</v>
      </c>
      <c r="G200">
        <v>1</v>
      </c>
      <c r="H200">
        <v>40</v>
      </c>
      <c r="I200" t="s">
        <v>549</v>
      </c>
      <c r="J200">
        <v>10098</v>
      </c>
      <c r="K200" t="s">
        <v>11</v>
      </c>
      <c r="L200" t="s">
        <v>869</v>
      </c>
      <c r="M200" t="s">
        <v>869</v>
      </c>
      <c r="N200" t="s">
        <v>870</v>
      </c>
      <c r="O200" s="14">
        <v>80469</v>
      </c>
      <c r="P200" t="s">
        <v>871</v>
      </c>
      <c r="Q200" s="15" t="s">
        <v>848</v>
      </c>
      <c r="R200" s="15" t="s">
        <v>849</v>
      </c>
      <c r="S200" t="s">
        <v>548</v>
      </c>
      <c r="T200" s="9">
        <v>43024</v>
      </c>
      <c r="U200" s="9">
        <v>43027</v>
      </c>
      <c r="V200" s="12">
        <v>291</v>
      </c>
      <c r="W200" s="12">
        <v>40</v>
      </c>
      <c r="X200" s="17">
        <v>0.25</v>
      </c>
      <c r="Y200">
        <v>62.75</v>
      </c>
      <c r="Z200" s="12">
        <v>102.75</v>
      </c>
      <c r="AA200" s="12">
        <v>16.405462184873951</v>
      </c>
      <c r="AB200" s="12">
        <v>148.25</v>
      </c>
      <c r="AF200" s="18">
        <f t="shared" si="3"/>
        <v>0</v>
      </c>
    </row>
    <row r="201" spans="1:32" customFormat="1" x14ac:dyDescent="0.25">
      <c r="A201" t="s">
        <v>15</v>
      </c>
      <c r="B201" t="s">
        <v>73</v>
      </c>
      <c r="C201" t="s">
        <v>550</v>
      </c>
      <c r="D201" s="9">
        <v>43024</v>
      </c>
      <c r="E201" s="9">
        <v>43027</v>
      </c>
      <c r="F201">
        <v>725</v>
      </c>
      <c r="G201">
        <v>-1</v>
      </c>
      <c r="H201">
        <v>65</v>
      </c>
      <c r="I201" t="s">
        <v>551</v>
      </c>
      <c r="J201">
        <v>30015</v>
      </c>
      <c r="K201" t="s">
        <v>15</v>
      </c>
      <c r="L201" t="s">
        <v>73</v>
      </c>
      <c r="M201" t="s">
        <v>73</v>
      </c>
      <c r="N201" t="s">
        <v>1020</v>
      </c>
      <c r="O201" s="14">
        <v>40233</v>
      </c>
      <c r="P201" t="s">
        <v>1021</v>
      </c>
      <c r="Q201" s="15" t="s">
        <v>848</v>
      </c>
      <c r="R201" s="15" t="s">
        <v>849</v>
      </c>
      <c r="S201" t="s">
        <v>550</v>
      </c>
      <c r="T201" s="9">
        <v>43024</v>
      </c>
      <c r="U201" s="9">
        <v>43027</v>
      </c>
      <c r="V201" s="12">
        <v>725</v>
      </c>
      <c r="W201" s="12">
        <v>65</v>
      </c>
      <c r="X201" s="17">
        <v>0.25</v>
      </c>
      <c r="Y201">
        <v>165</v>
      </c>
      <c r="Z201" s="12">
        <v>230</v>
      </c>
      <c r="AA201" s="12">
        <v>36.72268907563025</v>
      </c>
      <c r="AB201" s="12">
        <v>430</v>
      </c>
      <c r="AF201" s="18">
        <f t="shared" si="3"/>
        <v>0</v>
      </c>
    </row>
    <row r="202" spans="1:32" customFormat="1" x14ac:dyDescent="0.25">
      <c r="A202" t="s">
        <v>15</v>
      </c>
      <c r="B202" t="s">
        <v>381</v>
      </c>
      <c r="C202" t="s">
        <v>552</v>
      </c>
      <c r="D202" s="9">
        <v>43024</v>
      </c>
      <c r="E202" s="9">
        <v>43027</v>
      </c>
      <c r="F202">
        <v>375</v>
      </c>
      <c r="H202">
        <v>50</v>
      </c>
      <c r="I202" t="s">
        <v>553</v>
      </c>
      <c r="J202">
        <v>30029</v>
      </c>
      <c r="K202" t="s">
        <v>15</v>
      </c>
      <c r="L202" t="s">
        <v>1013</v>
      </c>
      <c r="M202" t="s">
        <v>1013</v>
      </c>
      <c r="N202" t="s">
        <v>1014</v>
      </c>
      <c r="O202" s="14">
        <v>82340</v>
      </c>
      <c r="P202" t="s">
        <v>1015</v>
      </c>
      <c r="Q202" s="15" t="s">
        <v>848</v>
      </c>
      <c r="R202" s="15" t="s">
        <v>849</v>
      </c>
      <c r="S202" t="s">
        <v>552</v>
      </c>
      <c r="T202" s="9">
        <v>43024</v>
      </c>
      <c r="U202" s="9">
        <v>43027</v>
      </c>
      <c r="V202" s="12">
        <v>375</v>
      </c>
      <c r="W202" s="12">
        <v>50</v>
      </c>
      <c r="X202" s="17">
        <v>0.25</v>
      </c>
      <c r="Y202">
        <v>81.25</v>
      </c>
      <c r="Z202" s="12">
        <v>131.25</v>
      </c>
      <c r="AA202" s="12">
        <v>20.955882352941178</v>
      </c>
      <c r="AB202" s="12">
        <v>193.75</v>
      </c>
      <c r="AF202" s="18">
        <f t="shared" si="3"/>
        <v>0</v>
      </c>
    </row>
    <row r="203" spans="1:32" customFormat="1" x14ac:dyDescent="0.25">
      <c r="A203" t="s">
        <v>11</v>
      </c>
      <c r="B203" t="s">
        <v>161</v>
      </c>
      <c r="C203" t="s">
        <v>554</v>
      </c>
      <c r="D203" s="9">
        <v>43024</v>
      </c>
      <c r="E203" s="9">
        <v>43027</v>
      </c>
      <c r="F203">
        <v>226</v>
      </c>
      <c r="H203">
        <v>35</v>
      </c>
      <c r="I203" t="s">
        <v>555</v>
      </c>
      <c r="J203">
        <v>10075</v>
      </c>
      <c r="K203" t="s">
        <v>11</v>
      </c>
      <c r="L203" t="s">
        <v>161</v>
      </c>
      <c r="M203" t="s">
        <v>161</v>
      </c>
      <c r="N203" t="s">
        <v>909</v>
      </c>
      <c r="O203" s="14" t="s">
        <v>910</v>
      </c>
      <c r="P203" t="s">
        <v>911</v>
      </c>
      <c r="Q203" s="15" t="s">
        <v>848</v>
      </c>
      <c r="R203" s="15" t="s">
        <v>849</v>
      </c>
      <c r="S203" t="s">
        <v>554</v>
      </c>
      <c r="T203" s="9">
        <v>43024</v>
      </c>
      <c r="U203" s="9">
        <v>43027</v>
      </c>
      <c r="V203" s="12">
        <v>226</v>
      </c>
      <c r="W203" s="12">
        <v>35</v>
      </c>
      <c r="X203" s="17">
        <v>0.25</v>
      </c>
      <c r="Y203">
        <v>47.75</v>
      </c>
      <c r="Z203" s="12">
        <v>82.75</v>
      </c>
      <c r="AA203" s="12">
        <v>13.21218487394958</v>
      </c>
      <c r="AB203" s="12">
        <v>108.25</v>
      </c>
      <c r="AF203" s="18">
        <f t="shared" si="3"/>
        <v>0</v>
      </c>
    </row>
    <row r="204" spans="1:32" customFormat="1" x14ac:dyDescent="0.25">
      <c r="A204" t="s">
        <v>38</v>
      </c>
      <c r="B204" t="s">
        <v>53</v>
      </c>
      <c r="C204" t="s">
        <v>418</v>
      </c>
      <c r="D204" s="9">
        <v>43024</v>
      </c>
      <c r="E204" s="9">
        <v>43027</v>
      </c>
      <c r="F204">
        <v>201</v>
      </c>
      <c r="H204">
        <v>35</v>
      </c>
      <c r="I204" t="s">
        <v>556</v>
      </c>
      <c r="J204">
        <v>40023</v>
      </c>
      <c r="K204" t="s">
        <v>38</v>
      </c>
      <c r="L204" t="s">
        <v>1016</v>
      </c>
      <c r="M204" t="s">
        <v>1016</v>
      </c>
      <c r="N204" t="s">
        <v>1017</v>
      </c>
      <c r="O204" s="14" t="s">
        <v>1018</v>
      </c>
      <c r="P204" t="s">
        <v>1019</v>
      </c>
      <c r="Q204" s="15" t="s">
        <v>848</v>
      </c>
      <c r="R204" s="15" t="s">
        <v>849</v>
      </c>
      <c r="S204" t="s">
        <v>418</v>
      </c>
      <c r="T204" s="9">
        <v>43024</v>
      </c>
      <c r="U204" s="9">
        <v>43027</v>
      </c>
      <c r="V204" s="12">
        <v>201</v>
      </c>
      <c r="W204" s="12">
        <v>35</v>
      </c>
      <c r="X204" s="17">
        <v>0.2</v>
      </c>
      <c r="Y204">
        <v>33.200000000000003</v>
      </c>
      <c r="Z204" s="12">
        <v>68.2</v>
      </c>
      <c r="AA204" s="12">
        <v>10.889075630252103</v>
      </c>
      <c r="AB204" s="12">
        <v>97.8</v>
      </c>
      <c r="AF204" s="18">
        <f t="shared" si="3"/>
        <v>0</v>
      </c>
    </row>
    <row r="205" spans="1:32" customFormat="1" x14ac:dyDescent="0.25">
      <c r="A205" t="s">
        <v>15</v>
      </c>
      <c r="B205" t="s">
        <v>400</v>
      </c>
      <c r="C205" t="s">
        <v>557</v>
      </c>
      <c r="D205" s="9">
        <v>43024</v>
      </c>
      <c r="E205" s="9">
        <v>43028</v>
      </c>
      <c r="F205">
        <v>433</v>
      </c>
      <c r="G205">
        <v>1</v>
      </c>
      <c r="H205">
        <v>60</v>
      </c>
      <c r="I205" t="s">
        <v>558</v>
      </c>
      <c r="J205">
        <v>30033</v>
      </c>
      <c r="K205" t="s">
        <v>15</v>
      </c>
      <c r="L205" t="s">
        <v>1044</v>
      </c>
      <c r="M205" t="s">
        <v>400</v>
      </c>
      <c r="N205" t="s">
        <v>1045</v>
      </c>
      <c r="O205" s="14" t="s">
        <v>1046</v>
      </c>
      <c r="P205" t="s">
        <v>1047</v>
      </c>
      <c r="Q205" s="15" t="s">
        <v>849</v>
      </c>
      <c r="R205" s="15" t="s">
        <v>848</v>
      </c>
      <c r="S205" t="s">
        <v>557</v>
      </c>
      <c r="T205" s="9">
        <v>43024</v>
      </c>
      <c r="U205" s="9">
        <v>43028</v>
      </c>
      <c r="V205" s="12">
        <v>433</v>
      </c>
      <c r="W205" s="12">
        <v>60</v>
      </c>
      <c r="X205" s="17">
        <v>0.25</v>
      </c>
      <c r="Y205">
        <v>93.25</v>
      </c>
      <c r="Z205" s="12">
        <v>153.25</v>
      </c>
      <c r="AA205" s="12">
        <v>24.468487394957986</v>
      </c>
      <c r="AB205" s="12">
        <v>219.75</v>
      </c>
      <c r="AF205" s="18">
        <f t="shared" si="3"/>
        <v>0</v>
      </c>
    </row>
    <row r="206" spans="1:32" customFormat="1" x14ac:dyDescent="0.25">
      <c r="A206" t="s">
        <v>38</v>
      </c>
      <c r="B206" t="s">
        <v>559</v>
      </c>
      <c r="C206" t="s">
        <v>560</v>
      </c>
      <c r="D206" s="9">
        <v>43024</v>
      </c>
      <c r="E206" s="9">
        <v>43029</v>
      </c>
      <c r="F206">
        <v>571</v>
      </c>
      <c r="H206">
        <v>50</v>
      </c>
      <c r="I206" t="s">
        <v>561</v>
      </c>
      <c r="J206">
        <v>40005</v>
      </c>
      <c r="K206" t="s">
        <v>38</v>
      </c>
      <c r="L206" t="s">
        <v>1026</v>
      </c>
      <c r="M206" t="s">
        <v>1027</v>
      </c>
      <c r="N206" t="s">
        <v>1028</v>
      </c>
      <c r="O206" s="14">
        <v>50670</v>
      </c>
      <c r="P206" t="s">
        <v>1029</v>
      </c>
      <c r="Q206" s="15" t="s">
        <v>848</v>
      </c>
      <c r="R206" s="15" t="s">
        <v>849</v>
      </c>
      <c r="S206" t="s">
        <v>560</v>
      </c>
      <c r="T206" s="9">
        <v>43024</v>
      </c>
      <c r="U206" s="9">
        <v>43029</v>
      </c>
      <c r="V206" s="12">
        <v>571</v>
      </c>
      <c r="W206" s="12">
        <v>50</v>
      </c>
      <c r="X206" s="17">
        <v>0.2</v>
      </c>
      <c r="Y206">
        <v>104.2</v>
      </c>
      <c r="Z206" s="12">
        <v>154.19999999999999</v>
      </c>
      <c r="AA206" s="12">
        <v>24.620168067226889</v>
      </c>
      <c r="AB206" s="12">
        <v>366.8</v>
      </c>
      <c r="AF206" s="18">
        <f t="shared" si="3"/>
        <v>0</v>
      </c>
    </row>
    <row r="207" spans="1:32" customFormat="1" x14ac:dyDescent="0.25">
      <c r="A207" t="s">
        <v>11</v>
      </c>
      <c r="B207" t="s">
        <v>263</v>
      </c>
      <c r="C207" t="s">
        <v>562</v>
      </c>
      <c r="D207" s="9">
        <v>43024</v>
      </c>
      <c r="E207" s="9">
        <v>43028</v>
      </c>
      <c r="F207">
        <v>293</v>
      </c>
      <c r="G207">
        <v>1</v>
      </c>
      <c r="H207">
        <v>40</v>
      </c>
      <c r="I207" t="s">
        <v>563</v>
      </c>
      <c r="J207">
        <v>10104</v>
      </c>
      <c r="K207" t="s">
        <v>11</v>
      </c>
      <c r="L207" t="s">
        <v>263</v>
      </c>
      <c r="M207" t="s">
        <v>263</v>
      </c>
      <c r="N207" t="s">
        <v>978</v>
      </c>
      <c r="O207" s="14">
        <v>81539</v>
      </c>
      <c r="P207" t="s">
        <v>979</v>
      </c>
      <c r="Q207" s="15" t="s">
        <v>848</v>
      </c>
      <c r="R207" s="15" t="s">
        <v>849</v>
      </c>
      <c r="S207" t="s">
        <v>562</v>
      </c>
      <c r="T207" s="9">
        <v>43024</v>
      </c>
      <c r="U207" s="9">
        <v>43028</v>
      </c>
      <c r="V207" s="12">
        <v>293</v>
      </c>
      <c r="W207" s="12">
        <v>40</v>
      </c>
      <c r="X207" s="17">
        <v>0.25</v>
      </c>
      <c r="Y207">
        <v>63.25</v>
      </c>
      <c r="Z207" s="12">
        <v>103.25</v>
      </c>
      <c r="AA207" s="12">
        <v>16.485294117647058</v>
      </c>
      <c r="AB207" s="12">
        <v>149.75</v>
      </c>
      <c r="AF207" s="18">
        <f t="shared" si="3"/>
        <v>0</v>
      </c>
    </row>
    <row r="208" spans="1:32" customFormat="1" x14ac:dyDescent="0.25">
      <c r="A208" t="s">
        <v>12</v>
      </c>
      <c r="B208" t="s">
        <v>13</v>
      </c>
      <c r="C208" t="s">
        <v>564</v>
      </c>
      <c r="D208" s="9">
        <v>43024</v>
      </c>
      <c r="E208" s="9">
        <v>43027</v>
      </c>
      <c r="F208">
        <v>251</v>
      </c>
      <c r="G208">
        <v>1</v>
      </c>
      <c r="H208">
        <v>35</v>
      </c>
      <c r="I208" t="s">
        <v>565</v>
      </c>
      <c r="J208">
        <v>50014</v>
      </c>
      <c r="K208" t="s">
        <v>12</v>
      </c>
      <c r="L208" t="s">
        <v>950</v>
      </c>
      <c r="M208" t="s">
        <v>950</v>
      </c>
      <c r="N208" t="s">
        <v>951</v>
      </c>
      <c r="O208" s="14">
        <v>22767</v>
      </c>
      <c r="P208" t="s">
        <v>952</v>
      </c>
      <c r="Q208" s="15" t="s">
        <v>848</v>
      </c>
      <c r="R208" s="15" t="s">
        <v>849</v>
      </c>
      <c r="S208" t="s">
        <v>564</v>
      </c>
      <c r="T208" s="9">
        <v>43024</v>
      </c>
      <c r="U208" s="9">
        <v>43027</v>
      </c>
      <c r="V208" s="12">
        <v>251</v>
      </c>
      <c r="W208" s="12">
        <v>35</v>
      </c>
      <c r="X208" s="17">
        <v>0.25</v>
      </c>
      <c r="Y208">
        <v>54</v>
      </c>
      <c r="Z208" s="12">
        <v>89</v>
      </c>
      <c r="AA208" s="12">
        <v>14.210084033613445</v>
      </c>
      <c r="AB208" s="12">
        <v>127</v>
      </c>
      <c r="AF208" s="18">
        <f t="shared" si="3"/>
        <v>0</v>
      </c>
    </row>
    <row r="209" spans="1:32" customFormat="1" x14ac:dyDescent="0.25">
      <c r="A209" t="s">
        <v>18</v>
      </c>
      <c r="B209" t="s">
        <v>418</v>
      </c>
      <c r="C209" t="s">
        <v>566</v>
      </c>
      <c r="D209" s="9">
        <v>43024</v>
      </c>
      <c r="E209" s="9">
        <v>43027</v>
      </c>
      <c r="F209">
        <v>178</v>
      </c>
      <c r="G209">
        <v>1</v>
      </c>
      <c r="H209">
        <v>45</v>
      </c>
      <c r="I209" t="s">
        <v>567</v>
      </c>
      <c r="J209">
        <v>60026</v>
      </c>
      <c r="K209" t="s">
        <v>18</v>
      </c>
      <c r="L209" t="s">
        <v>418</v>
      </c>
      <c r="M209" t="s">
        <v>418</v>
      </c>
      <c r="N209" t="s">
        <v>1052</v>
      </c>
      <c r="O209" s="14">
        <v>10437</v>
      </c>
      <c r="P209" t="s">
        <v>1053</v>
      </c>
      <c r="Q209" s="15" t="s">
        <v>848</v>
      </c>
      <c r="R209" s="15" t="s">
        <v>849</v>
      </c>
      <c r="S209" t="s">
        <v>566</v>
      </c>
      <c r="T209" s="9">
        <v>43024</v>
      </c>
      <c r="U209" s="9">
        <v>43027</v>
      </c>
      <c r="V209" s="12">
        <v>178</v>
      </c>
      <c r="W209" s="12">
        <v>45</v>
      </c>
      <c r="X209" s="17">
        <v>0.25</v>
      </c>
      <c r="Y209">
        <v>33.25</v>
      </c>
      <c r="Z209" s="12">
        <v>78.25</v>
      </c>
      <c r="AA209" s="12">
        <v>12.493697478991596</v>
      </c>
      <c r="AB209" s="12">
        <v>54.75</v>
      </c>
      <c r="AF209" s="18">
        <f t="shared" si="3"/>
        <v>0</v>
      </c>
    </row>
    <row r="210" spans="1:32" customFormat="1" x14ac:dyDescent="0.25">
      <c r="A210" t="s">
        <v>11</v>
      </c>
      <c r="B210" t="s">
        <v>27</v>
      </c>
      <c r="C210" t="s">
        <v>568</v>
      </c>
      <c r="D210" s="9">
        <v>43024</v>
      </c>
      <c r="E210" s="9">
        <v>43031</v>
      </c>
      <c r="F210">
        <v>1219</v>
      </c>
      <c r="G210" t="s">
        <v>569</v>
      </c>
      <c r="H210">
        <v>60</v>
      </c>
      <c r="I210" t="s">
        <v>570</v>
      </c>
      <c r="J210">
        <v>10093</v>
      </c>
      <c r="K210" t="s">
        <v>11</v>
      </c>
      <c r="L210" t="s">
        <v>27</v>
      </c>
      <c r="M210" t="s">
        <v>970</v>
      </c>
      <c r="N210" t="s">
        <v>971</v>
      </c>
      <c r="O210" s="14">
        <v>80469</v>
      </c>
      <c r="P210" t="s">
        <v>972</v>
      </c>
      <c r="Q210" s="15" t="s">
        <v>848</v>
      </c>
      <c r="R210" s="15" t="s">
        <v>849</v>
      </c>
      <c r="S210" t="s">
        <v>568</v>
      </c>
      <c r="T210" s="9">
        <v>43024</v>
      </c>
      <c r="U210" s="9">
        <v>43031</v>
      </c>
      <c r="V210" s="12">
        <v>1219</v>
      </c>
      <c r="W210" s="12">
        <v>60</v>
      </c>
      <c r="X210" s="17">
        <v>0.25</v>
      </c>
      <c r="Y210">
        <v>289.75</v>
      </c>
      <c r="Z210" s="12">
        <v>349.75</v>
      </c>
      <c r="AA210" s="12">
        <v>55.842436974789919</v>
      </c>
      <c r="AB210" s="12">
        <v>809.25</v>
      </c>
      <c r="AF210" s="18">
        <f t="shared" si="3"/>
        <v>0</v>
      </c>
    </row>
    <row r="211" spans="1:32" customFormat="1" x14ac:dyDescent="0.25">
      <c r="A211" t="s">
        <v>15</v>
      </c>
      <c r="B211" t="s">
        <v>345</v>
      </c>
      <c r="C211" t="s">
        <v>571</v>
      </c>
      <c r="D211" s="9">
        <v>43024</v>
      </c>
      <c r="E211" s="9">
        <v>43027</v>
      </c>
      <c r="F211">
        <v>306</v>
      </c>
      <c r="G211">
        <v>2</v>
      </c>
      <c r="H211">
        <v>40</v>
      </c>
      <c r="I211" t="s">
        <v>572</v>
      </c>
      <c r="J211">
        <v>30032</v>
      </c>
      <c r="K211" t="s">
        <v>15</v>
      </c>
      <c r="L211" t="s">
        <v>1030</v>
      </c>
      <c r="M211" t="s">
        <v>1030</v>
      </c>
      <c r="N211" t="s">
        <v>1031</v>
      </c>
      <c r="O211" s="14" t="s">
        <v>1032</v>
      </c>
      <c r="P211" t="s">
        <v>1033</v>
      </c>
      <c r="Q211" s="15" t="s">
        <v>848</v>
      </c>
      <c r="R211" s="15" t="s">
        <v>849</v>
      </c>
      <c r="S211" t="s">
        <v>571</v>
      </c>
      <c r="T211" s="9">
        <v>43024</v>
      </c>
      <c r="U211" s="9">
        <v>43027</v>
      </c>
      <c r="V211" s="12">
        <v>306</v>
      </c>
      <c r="W211" s="12">
        <v>40</v>
      </c>
      <c r="X211" s="17">
        <v>0.25</v>
      </c>
      <c r="Y211">
        <v>66.5</v>
      </c>
      <c r="Z211" s="12">
        <v>106.5</v>
      </c>
      <c r="AA211" s="12">
        <v>17.004201680672271</v>
      </c>
      <c r="AB211" s="12">
        <v>159.5</v>
      </c>
      <c r="AF211" s="18">
        <f t="shared" si="3"/>
        <v>0</v>
      </c>
    </row>
    <row r="212" spans="1:32" customFormat="1" x14ac:dyDescent="0.25">
      <c r="A212" t="s">
        <v>11</v>
      </c>
      <c r="B212" t="s">
        <v>322</v>
      </c>
      <c r="C212" t="s">
        <v>573</v>
      </c>
      <c r="D212" s="9">
        <v>43024</v>
      </c>
      <c r="E212" s="9">
        <v>43026</v>
      </c>
      <c r="F212">
        <v>198</v>
      </c>
      <c r="H212">
        <v>50</v>
      </c>
      <c r="I212" t="s">
        <v>574</v>
      </c>
      <c r="J212">
        <v>10106</v>
      </c>
      <c r="K212" t="s">
        <v>11</v>
      </c>
      <c r="L212" t="s">
        <v>322</v>
      </c>
      <c r="M212" t="s">
        <v>322</v>
      </c>
      <c r="N212" t="s">
        <v>1011</v>
      </c>
      <c r="O212" s="14">
        <v>80803</v>
      </c>
      <c r="P212" t="s">
        <v>1012</v>
      </c>
      <c r="Q212" s="15" t="s">
        <v>848</v>
      </c>
      <c r="R212" s="15" t="s">
        <v>849</v>
      </c>
      <c r="S212" t="s">
        <v>573</v>
      </c>
      <c r="T212" s="9">
        <v>43024</v>
      </c>
      <c r="U212" s="9">
        <v>43026</v>
      </c>
      <c r="V212" s="12">
        <v>198</v>
      </c>
      <c r="W212" s="12">
        <v>50</v>
      </c>
      <c r="X212" s="17">
        <v>0.25</v>
      </c>
      <c r="Y212">
        <v>37</v>
      </c>
      <c r="Z212" s="12">
        <v>87</v>
      </c>
      <c r="AA212" s="12">
        <v>13.890756302521007</v>
      </c>
      <c r="AB212" s="12">
        <v>61</v>
      </c>
      <c r="AF212" s="18">
        <f t="shared" si="3"/>
        <v>0</v>
      </c>
    </row>
    <row r="213" spans="1:32" customFormat="1" x14ac:dyDescent="0.25">
      <c r="A213" t="s">
        <v>12</v>
      </c>
      <c r="B213" t="s">
        <v>41</v>
      </c>
      <c r="C213" t="s">
        <v>575</v>
      </c>
      <c r="D213" s="9">
        <v>43025</v>
      </c>
      <c r="E213" s="9">
        <v>43037</v>
      </c>
      <c r="F213">
        <v>912</v>
      </c>
      <c r="H213">
        <v>35</v>
      </c>
      <c r="I213" t="s">
        <v>576</v>
      </c>
      <c r="J213">
        <v>50027</v>
      </c>
      <c r="K213" t="s">
        <v>12</v>
      </c>
      <c r="L213" t="s">
        <v>853</v>
      </c>
      <c r="M213" t="s">
        <v>41</v>
      </c>
      <c r="N213" t="s">
        <v>854</v>
      </c>
      <c r="O213" s="14">
        <v>25980</v>
      </c>
      <c r="P213" t="s">
        <v>855</v>
      </c>
      <c r="Q213" s="15" t="s">
        <v>849</v>
      </c>
      <c r="R213" s="15" t="s">
        <v>848</v>
      </c>
      <c r="S213" t="s">
        <v>575</v>
      </c>
      <c r="T213" s="9">
        <v>43025</v>
      </c>
      <c r="U213" s="9">
        <v>43037</v>
      </c>
      <c r="V213" s="12">
        <v>912</v>
      </c>
      <c r="W213" s="12">
        <v>35</v>
      </c>
      <c r="X213" s="17">
        <v>0.25</v>
      </c>
      <c r="Y213">
        <v>219.25</v>
      </c>
      <c r="Z213" s="12">
        <v>254.25</v>
      </c>
      <c r="AA213" s="12">
        <v>40.594537815126053</v>
      </c>
      <c r="AB213" s="12">
        <v>622.75</v>
      </c>
      <c r="AF213" s="18">
        <f t="shared" si="3"/>
        <v>0</v>
      </c>
    </row>
    <row r="214" spans="1:32" customFormat="1" x14ac:dyDescent="0.25">
      <c r="A214" t="s">
        <v>15</v>
      </c>
      <c r="B214" t="s">
        <v>577</v>
      </c>
      <c r="C214" t="s">
        <v>578</v>
      </c>
      <c r="D214" s="9">
        <v>43025</v>
      </c>
      <c r="E214" s="9">
        <v>43027</v>
      </c>
      <c r="F214">
        <v>253</v>
      </c>
      <c r="H214">
        <v>18</v>
      </c>
      <c r="I214" t="s">
        <v>579</v>
      </c>
      <c r="J214">
        <v>30034</v>
      </c>
      <c r="K214" t="s">
        <v>15</v>
      </c>
      <c r="L214" t="s">
        <v>577</v>
      </c>
      <c r="M214" t="s">
        <v>1093</v>
      </c>
      <c r="N214" t="s">
        <v>1094</v>
      </c>
      <c r="O214" s="14">
        <v>10405</v>
      </c>
      <c r="P214" t="s">
        <v>1095</v>
      </c>
      <c r="Q214" s="15" t="s">
        <v>848</v>
      </c>
      <c r="R214" s="15" t="s">
        <v>849</v>
      </c>
      <c r="S214" t="s">
        <v>578</v>
      </c>
      <c r="T214" s="9">
        <v>43025</v>
      </c>
      <c r="U214" s="9">
        <v>43027</v>
      </c>
      <c r="V214" s="12">
        <v>253</v>
      </c>
      <c r="W214" s="12">
        <v>18</v>
      </c>
      <c r="X214" s="17">
        <v>0.25</v>
      </c>
      <c r="Y214">
        <v>58.75</v>
      </c>
      <c r="Z214" s="12">
        <v>76.75</v>
      </c>
      <c r="AA214" s="12">
        <v>12.254201680672269</v>
      </c>
      <c r="AB214" s="12">
        <v>158.25</v>
      </c>
      <c r="AF214" s="18">
        <f t="shared" si="3"/>
        <v>0</v>
      </c>
    </row>
    <row r="215" spans="1:32" customFormat="1" x14ac:dyDescent="0.25">
      <c r="A215" t="s">
        <v>11</v>
      </c>
      <c r="B215" t="s">
        <v>58</v>
      </c>
      <c r="C215" t="s">
        <v>580</v>
      </c>
      <c r="D215" s="9">
        <v>43025</v>
      </c>
      <c r="E215" s="9">
        <v>43027</v>
      </c>
      <c r="F215">
        <v>287</v>
      </c>
      <c r="G215">
        <v>1</v>
      </c>
      <c r="H215">
        <v>50</v>
      </c>
      <c r="I215" t="s">
        <v>581</v>
      </c>
      <c r="J215">
        <v>10043</v>
      </c>
      <c r="K215" t="s">
        <v>11</v>
      </c>
      <c r="L215" t="s">
        <v>973</v>
      </c>
      <c r="M215" t="s">
        <v>973</v>
      </c>
      <c r="N215" t="s">
        <v>974</v>
      </c>
      <c r="O215" s="14">
        <v>80469</v>
      </c>
      <c r="P215" t="s">
        <v>975</v>
      </c>
      <c r="Q215" s="15" t="s">
        <v>849</v>
      </c>
      <c r="R215" s="15" t="s">
        <v>848</v>
      </c>
      <c r="S215" t="s">
        <v>580</v>
      </c>
      <c r="T215" s="9">
        <v>43025</v>
      </c>
      <c r="U215" s="9">
        <v>43027</v>
      </c>
      <c r="V215" s="12">
        <v>287</v>
      </c>
      <c r="W215" s="12">
        <v>50</v>
      </c>
      <c r="X215" s="17">
        <v>0.2</v>
      </c>
      <c r="Y215">
        <v>47.400000000000006</v>
      </c>
      <c r="Z215" s="12">
        <v>97.4</v>
      </c>
      <c r="AA215" s="12">
        <v>15.551260504201682</v>
      </c>
      <c r="AB215" s="12">
        <v>139.6</v>
      </c>
      <c r="AF215" s="18">
        <f t="shared" si="3"/>
        <v>0</v>
      </c>
    </row>
    <row r="216" spans="1:32" customFormat="1" x14ac:dyDescent="0.25">
      <c r="A216" t="s">
        <v>582</v>
      </c>
      <c r="B216" t="s">
        <v>583</v>
      </c>
      <c r="C216" t="s">
        <v>584</v>
      </c>
      <c r="D216" s="9">
        <v>43025</v>
      </c>
      <c r="E216" s="9">
        <v>43030</v>
      </c>
      <c r="F216">
        <v>380</v>
      </c>
      <c r="H216">
        <v>49</v>
      </c>
      <c r="I216" t="s">
        <v>585</v>
      </c>
      <c r="J216">
        <v>20020</v>
      </c>
      <c r="K216" t="s">
        <v>582</v>
      </c>
      <c r="L216" t="s">
        <v>583</v>
      </c>
      <c r="M216" t="s">
        <v>583</v>
      </c>
      <c r="N216" t="s">
        <v>1096</v>
      </c>
      <c r="O216" s="14">
        <v>64293</v>
      </c>
      <c r="P216" t="s">
        <v>1097</v>
      </c>
      <c r="Q216" s="15" t="s">
        <v>848</v>
      </c>
      <c r="R216" s="15" t="s">
        <v>849</v>
      </c>
      <c r="S216" t="s">
        <v>584</v>
      </c>
      <c r="T216" s="9">
        <v>43025</v>
      </c>
      <c r="U216" s="9">
        <v>43030</v>
      </c>
      <c r="V216" s="12">
        <v>380</v>
      </c>
      <c r="W216" s="12">
        <v>49</v>
      </c>
      <c r="X216" s="17">
        <v>0.25</v>
      </c>
      <c r="Y216">
        <v>82.75</v>
      </c>
      <c r="Z216" s="12">
        <v>131.75</v>
      </c>
      <c r="AA216" s="12">
        <v>21.035714285714288</v>
      </c>
      <c r="AB216" s="12">
        <v>199.25</v>
      </c>
      <c r="AF216" s="18">
        <f t="shared" si="3"/>
        <v>0</v>
      </c>
    </row>
    <row r="217" spans="1:32" customFormat="1" x14ac:dyDescent="0.25">
      <c r="A217" t="s">
        <v>9</v>
      </c>
      <c r="B217" t="s">
        <v>464</v>
      </c>
      <c r="C217" t="s">
        <v>586</v>
      </c>
      <c r="D217" s="9">
        <v>43025</v>
      </c>
      <c r="E217" s="9">
        <v>43027</v>
      </c>
      <c r="F217">
        <v>225</v>
      </c>
      <c r="H217">
        <v>45</v>
      </c>
      <c r="I217" t="s">
        <v>587</v>
      </c>
      <c r="J217">
        <v>20031</v>
      </c>
      <c r="K217" t="s">
        <v>9</v>
      </c>
      <c r="L217" t="s">
        <v>1080</v>
      </c>
      <c r="M217" t="s">
        <v>1080</v>
      </c>
      <c r="N217" t="s">
        <v>1081</v>
      </c>
      <c r="O217" s="14">
        <v>60326</v>
      </c>
      <c r="P217" t="s">
        <v>1082</v>
      </c>
      <c r="Q217" s="15" t="s">
        <v>848</v>
      </c>
      <c r="R217" s="15" t="s">
        <v>849</v>
      </c>
      <c r="S217" t="s">
        <v>586</v>
      </c>
      <c r="T217" s="9">
        <v>43025</v>
      </c>
      <c r="U217" s="9">
        <v>43027</v>
      </c>
      <c r="V217" s="12">
        <v>225</v>
      </c>
      <c r="W217" s="12">
        <v>45</v>
      </c>
      <c r="X217" s="17">
        <v>0.25</v>
      </c>
      <c r="Y217">
        <v>45</v>
      </c>
      <c r="Z217" s="12">
        <v>90</v>
      </c>
      <c r="AA217" s="12">
        <v>14.369747899159663</v>
      </c>
      <c r="AB217" s="12">
        <v>90</v>
      </c>
      <c r="AF217" s="18">
        <f t="shared" si="3"/>
        <v>0</v>
      </c>
    </row>
    <row r="218" spans="1:32" customFormat="1" x14ac:dyDescent="0.25">
      <c r="A218" t="s">
        <v>15</v>
      </c>
      <c r="B218" t="s">
        <v>361</v>
      </c>
      <c r="C218" t="s">
        <v>588</v>
      </c>
      <c r="D218" s="9">
        <v>43025</v>
      </c>
      <c r="E218" s="9">
        <v>43028</v>
      </c>
      <c r="F218">
        <v>365</v>
      </c>
      <c r="H218">
        <v>35</v>
      </c>
      <c r="I218" t="s">
        <v>589</v>
      </c>
      <c r="J218">
        <v>30035</v>
      </c>
      <c r="K218" t="s">
        <v>15</v>
      </c>
      <c r="L218" t="s">
        <v>1036</v>
      </c>
      <c r="M218" t="s">
        <v>1037</v>
      </c>
      <c r="N218" t="s">
        <v>1038</v>
      </c>
      <c r="O218" s="14">
        <v>40213</v>
      </c>
      <c r="P218" t="s">
        <v>1039</v>
      </c>
      <c r="Q218" s="15" t="s">
        <v>848</v>
      </c>
      <c r="R218" s="15" t="s">
        <v>849</v>
      </c>
      <c r="S218" t="s">
        <v>588</v>
      </c>
      <c r="T218" s="9">
        <v>43025</v>
      </c>
      <c r="U218" s="9">
        <v>43028</v>
      </c>
      <c r="V218" s="12">
        <v>365</v>
      </c>
      <c r="W218" s="12">
        <v>35</v>
      </c>
      <c r="X218" s="17">
        <v>0.25</v>
      </c>
      <c r="Y218">
        <v>82.5</v>
      </c>
      <c r="Z218" s="12">
        <v>117.5</v>
      </c>
      <c r="AA218" s="12">
        <v>18.760504201680675</v>
      </c>
      <c r="AB218" s="12">
        <v>212.5</v>
      </c>
      <c r="AF218" s="18">
        <f t="shared" si="3"/>
        <v>0</v>
      </c>
    </row>
    <row r="219" spans="1:32" customFormat="1" x14ac:dyDescent="0.25">
      <c r="A219" t="s">
        <v>12</v>
      </c>
      <c r="B219" t="s">
        <v>590</v>
      </c>
      <c r="C219" t="s">
        <v>591</v>
      </c>
      <c r="D219" s="9">
        <v>43025</v>
      </c>
      <c r="E219" s="9">
        <v>43028</v>
      </c>
      <c r="F219">
        <v>226</v>
      </c>
      <c r="H219">
        <v>35</v>
      </c>
      <c r="I219" t="s">
        <v>592</v>
      </c>
      <c r="J219">
        <v>50035</v>
      </c>
      <c r="K219" t="s">
        <v>12</v>
      </c>
      <c r="L219" t="s">
        <v>33</v>
      </c>
      <c r="M219" t="s">
        <v>33</v>
      </c>
      <c r="N219" t="s">
        <v>862</v>
      </c>
      <c r="O219" s="14">
        <v>20359</v>
      </c>
      <c r="P219" t="s">
        <v>863</v>
      </c>
      <c r="Q219" s="15" t="s">
        <v>848</v>
      </c>
      <c r="R219" s="15" t="s">
        <v>849</v>
      </c>
      <c r="S219" t="s">
        <v>591</v>
      </c>
      <c r="T219" s="9">
        <v>43025</v>
      </c>
      <c r="U219" s="9">
        <v>43028</v>
      </c>
      <c r="V219" s="12">
        <v>226</v>
      </c>
      <c r="W219" s="12">
        <v>35</v>
      </c>
      <c r="X219" s="17">
        <v>0.25</v>
      </c>
      <c r="Y219">
        <v>47.75</v>
      </c>
      <c r="Z219" s="12">
        <v>82.75</v>
      </c>
      <c r="AA219" s="12">
        <v>13.21218487394958</v>
      </c>
      <c r="AB219" s="12">
        <v>108.25</v>
      </c>
      <c r="AF219" s="18">
        <f t="shared" si="3"/>
        <v>0</v>
      </c>
    </row>
    <row r="220" spans="1:32" customFormat="1" x14ac:dyDescent="0.25">
      <c r="A220" t="s">
        <v>12</v>
      </c>
      <c r="B220" t="s">
        <v>108</v>
      </c>
      <c r="C220" t="s">
        <v>593</v>
      </c>
      <c r="D220" s="9">
        <v>43025</v>
      </c>
      <c r="E220" s="9">
        <v>43030</v>
      </c>
      <c r="F220">
        <v>368</v>
      </c>
      <c r="G220">
        <v>2</v>
      </c>
      <c r="H220">
        <v>50</v>
      </c>
      <c r="I220" t="s">
        <v>594</v>
      </c>
      <c r="J220">
        <v>50037</v>
      </c>
      <c r="K220" t="s">
        <v>12</v>
      </c>
      <c r="L220" t="s">
        <v>850</v>
      </c>
      <c r="M220" t="s">
        <v>850</v>
      </c>
      <c r="N220" t="s">
        <v>851</v>
      </c>
      <c r="O220" s="14">
        <v>31185</v>
      </c>
      <c r="P220" t="s">
        <v>852</v>
      </c>
      <c r="Q220" s="15" t="s">
        <v>849</v>
      </c>
      <c r="R220" s="15" t="s">
        <v>848</v>
      </c>
      <c r="S220" t="s">
        <v>593</v>
      </c>
      <c r="T220" s="9">
        <v>43025</v>
      </c>
      <c r="U220" s="9">
        <v>43030</v>
      </c>
      <c r="V220" s="12">
        <v>368</v>
      </c>
      <c r="W220" s="12">
        <v>50</v>
      </c>
      <c r="X220" s="17">
        <v>0.25</v>
      </c>
      <c r="Y220">
        <v>79.5</v>
      </c>
      <c r="Z220" s="12">
        <v>129.5</v>
      </c>
      <c r="AA220" s="12">
        <v>20.676470588235293</v>
      </c>
      <c r="AB220" s="12">
        <v>188.5</v>
      </c>
      <c r="AF220" s="18">
        <f t="shared" si="3"/>
        <v>0</v>
      </c>
    </row>
    <row r="221" spans="1:32" customFormat="1" x14ac:dyDescent="0.25">
      <c r="A221" t="s">
        <v>11</v>
      </c>
      <c r="B221" t="s">
        <v>40</v>
      </c>
      <c r="C221" t="s">
        <v>595</v>
      </c>
      <c r="D221" s="9">
        <v>43026</v>
      </c>
      <c r="E221" s="9">
        <v>43030</v>
      </c>
      <c r="F221">
        <v>467</v>
      </c>
      <c r="H221">
        <v>35</v>
      </c>
      <c r="I221" t="s">
        <v>596</v>
      </c>
      <c r="J221">
        <v>10018</v>
      </c>
      <c r="K221" t="s">
        <v>11</v>
      </c>
      <c r="L221" t="s">
        <v>944</v>
      </c>
      <c r="M221" t="s">
        <v>944</v>
      </c>
      <c r="N221" t="s">
        <v>945</v>
      </c>
      <c r="O221" s="14">
        <v>80803</v>
      </c>
      <c r="P221" t="s">
        <v>946</v>
      </c>
      <c r="Q221" s="15" t="s">
        <v>849</v>
      </c>
      <c r="R221" s="15" t="s">
        <v>848</v>
      </c>
      <c r="S221" t="s">
        <v>595</v>
      </c>
      <c r="T221" s="9">
        <v>43026</v>
      </c>
      <c r="U221" s="9">
        <v>43030</v>
      </c>
      <c r="V221" s="12">
        <v>467</v>
      </c>
      <c r="W221" s="12">
        <v>35</v>
      </c>
      <c r="X221" s="17">
        <v>0.25</v>
      </c>
      <c r="Y221">
        <v>108</v>
      </c>
      <c r="Z221" s="12">
        <v>143</v>
      </c>
      <c r="AA221" s="12">
        <v>22.831932773109244</v>
      </c>
      <c r="AB221" s="12">
        <v>289</v>
      </c>
      <c r="AF221" s="18">
        <f t="shared" si="3"/>
        <v>0</v>
      </c>
    </row>
    <row r="222" spans="1:32" customFormat="1" x14ac:dyDescent="0.25">
      <c r="A222" t="s">
        <v>15</v>
      </c>
      <c r="B222" t="s">
        <v>25</v>
      </c>
      <c r="C222" t="s">
        <v>597</v>
      </c>
      <c r="D222" s="9">
        <v>43026</v>
      </c>
      <c r="E222" s="9">
        <v>43028</v>
      </c>
      <c r="F222">
        <v>331</v>
      </c>
      <c r="H222">
        <v>45</v>
      </c>
      <c r="I222" t="s">
        <v>598</v>
      </c>
      <c r="J222">
        <v>30023</v>
      </c>
      <c r="K222" t="s">
        <v>15</v>
      </c>
      <c r="L222" t="s">
        <v>892</v>
      </c>
      <c r="M222" t="s">
        <v>892</v>
      </c>
      <c r="N222" t="s">
        <v>893</v>
      </c>
      <c r="O222" s="14">
        <v>40225</v>
      </c>
      <c r="P222" t="s">
        <v>894</v>
      </c>
      <c r="Q222" s="15" t="s">
        <v>848</v>
      </c>
      <c r="R222" s="15" t="s">
        <v>849</v>
      </c>
      <c r="S222" t="s">
        <v>597</v>
      </c>
      <c r="T222" s="9">
        <v>43026</v>
      </c>
      <c r="U222" s="9">
        <v>43028</v>
      </c>
      <c r="V222" s="12">
        <v>331</v>
      </c>
      <c r="W222" s="12">
        <v>45</v>
      </c>
      <c r="X222" s="17">
        <v>0.2</v>
      </c>
      <c r="Y222">
        <v>57.2</v>
      </c>
      <c r="Z222" s="12">
        <v>102.2</v>
      </c>
      <c r="AA222" s="12">
        <v>16.317647058823532</v>
      </c>
      <c r="AB222" s="12">
        <v>183.8</v>
      </c>
      <c r="AF222" s="18">
        <f t="shared" si="3"/>
        <v>0</v>
      </c>
    </row>
    <row r="223" spans="1:32" customFormat="1" x14ac:dyDescent="0.25">
      <c r="A223" t="s">
        <v>11</v>
      </c>
      <c r="B223" t="s">
        <v>56</v>
      </c>
      <c r="C223" t="s">
        <v>599</v>
      </c>
      <c r="D223" s="9">
        <v>43026</v>
      </c>
      <c r="E223" s="9">
        <v>43028</v>
      </c>
      <c r="F223">
        <v>226</v>
      </c>
      <c r="H223">
        <v>35</v>
      </c>
      <c r="I223" t="s">
        <v>600</v>
      </c>
      <c r="J223">
        <v>10076</v>
      </c>
      <c r="K223" t="s">
        <v>11</v>
      </c>
      <c r="L223" t="s">
        <v>56</v>
      </c>
      <c r="M223" t="s">
        <v>56</v>
      </c>
      <c r="N223" t="s">
        <v>1085</v>
      </c>
      <c r="O223" s="14" t="s">
        <v>1086</v>
      </c>
      <c r="P223" t="s">
        <v>1087</v>
      </c>
      <c r="Q223" s="15" t="s">
        <v>848</v>
      </c>
      <c r="R223" s="15" t="s">
        <v>849</v>
      </c>
      <c r="S223" t="s">
        <v>599</v>
      </c>
      <c r="T223" s="9">
        <v>43026</v>
      </c>
      <c r="U223" s="9">
        <v>43028</v>
      </c>
      <c r="V223" s="12">
        <v>226</v>
      </c>
      <c r="W223" s="12">
        <v>35</v>
      </c>
      <c r="X223" s="17">
        <v>0.25</v>
      </c>
      <c r="Y223">
        <v>47.75</v>
      </c>
      <c r="Z223" s="12">
        <v>82.75</v>
      </c>
      <c r="AA223" s="12">
        <v>13.21218487394958</v>
      </c>
      <c r="AB223" s="12">
        <v>108.25</v>
      </c>
      <c r="AF223" s="18">
        <f t="shared" si="3"/>
        <v>0</v>
      </c>
    </row>
    <row r="224" spans="1:32" customFormat="1" x14ac:dyDescent="0.25">
      <c r="A224" t="s">
        <v>38</v>
      </c>
      <c r="B224" t="s">
        <v>334</v>
      </c>
      <c r="C224" t="s">
        <v>601</v>
      </c>
      <c r="D224" s="9">
        <v>43026</v>
      </c>
      <c r="E224" s="9">
        <v>43028</v>
      </c>
      <c r="F224">
        <v>184</v>
      </c>
      <c r="H224">
        <v>45</v>
      </c>
      <c r="I224" t="s">
        <v>602</v>
      </c>
      <c r="J224">
        <v>40032</v>
      </c>
      <c r="K224" t="s">
        <v>38</v>
      </c>
      <c r="L224" t="s">
        <v>1022</v>
      </c>
      <c r="M224" t="s">
        <v>1022</v>
      </c>
      <c r="N224" t="s">
        <v>1023</v>
      </c>
      <c r="O224" s="14" t="s">
        <v>1024</v>
      </c>
      <c r="P224" t="s">
        <v>1025</v>
      </c>
      <c r="Q224" s="15" t="s">
        <v>848</v>
      </c>
      <c r="R224" s="15" t="s">
        <v>849</v>
      </c>
      <c r="S224" t="s">
        <v>601</v>
      </c>
      <c r="T224" s="9">
        <v>43026</v>
      </c>
      <c r="U224" s="9">
        <v>43028</v>
      </c>
      <c r="V224" s="12">
        <v>184</v>
      </c>
      <c r="W224" s="12">
        <v>45</v>
      </c>
      <c r="X224" s="17">
        <v>0.25</v>
      </c>
      <c r="Y224">
        <v>34.75</v>
      </c>
      <c r="Z224" s="12">
        <v>79.75</v>
      </c>
      <c r="AA224" s="12">
        <v>12.733193277310923</v>
      </c>
      <c r="AB224" s="12">
        <v>59.25</v>
      </c>
      <c r="AF224" s="18">
        <f t="shared" si="3"/>
        <v>0</v>
      </c>
    </row>
    <row r="225" spans="1:32" customFormat="1" x14ac:dyDescent="0.25">
      <c r="A225" t="s">
        <v>11</v>
      </c>
      <c r="B225" t="s">
        <v>322</v>
      </c>
      <c r="C225" t="s">
        <v>603</v>
      </c>
      <c r="D225" s="9">
        <v>43026</v>
      </c>
      <c r="E225" s="9">
        <v>43031</v>
      </c>
      <c r="F225">
        <v>635</v>
      </c>
      <c r="H225">
        <v>50</v>
      </c>
      <c r="I225" t="s">
        <v>604</v>
      </c>
      <c r="J225">
        <v>10106</v>
      </c>
      <c r="K225" t="s">
        <v>11</v>
      </c>
      <c r="L225" t="s">
        <v>322</v>
      </c>
      <c r="M225" t="s">
        <v>322</v>
      </c>
      <c r="N225" t="s">
        <v>1011</v>
      </c>
      <c r="O225" s="14">
        <v>80803</v>
      </c>
      <c r="P225" t="s">
        <v>1012</v>
      </c>
      <c r="Q225" s="15" t="s">
        <v>848</v>
      </c>
      <c r="R225" s="15" t="s">
        <v>849</v>
      </c>
      <c r="S225" t="s">
        <v>603</v>
      </c>
      <c r="T225" s="9">
        <v>43026</v>
      </c>
      <c r="U225" s="9">
        <v>43031</v>
      </c>
      <c r="V225" s="12">
        <v>635</v>
      </c>
      <c r="W225" s="12">
        <v>50</v>
      </c>
      <c r="X225" s="17">
        <v>0.25</v>
      </c>
      <c r="Y225">
        <v>146.25</v>
      </c>
      <c r="Z225" s="12">
        <v>196.25</v>
      </c>
      <c r="AA225" s="12">
        <v>31.334033613445378</v>
      </c>
      <c r="AB225" s="12">
        <v>388.75</v>
      </c>
      <c r="AF225" s="18">
        <f t="shared" si="3"/>
        <v>0</v>
      </c>
    </row>
    <row r="226" spans="1:32" customFormat="1" x14ac:dyDescent="0.25">
      <c r="A226" t="s">
        <v>11</v>
      </c>
      <c r="B226" t="s">
        <v>605</v>
      </c>
      <c r="C226" t="s">
        <v>606</v>
      </c>
      <c r="D226" s="9">
        <v>43026</v>
      </c>
      <c r="E226" s="9">
        <v>43034</v>
      </c>
      <c r="F226">
        <v>514</v>
      </c>
      <c r="H226">
        <v>40</v>
      </c>
      <c r="I226" t="s">
        <v>607</v>
      </c>
      <c r="J226">
        <v>10108</v>
      </c>
      <c r="K226" t="s">
        <v>11</v>
      </c>
      <c r="L226" t="s">
        <v>1098</v>
      </c>
      <c r="M226" t="s">
        <v>1098</v>
      </c>
      <c r="N226" t="s">
        <v>1099</v>
      </c>
      <c r="O226" s="14">
        <v>80799</v>
      </c>
      <c r="P226" t="s">
        <v>1100</v>
      </c>
      <c r="Q226" s="15" t="s">
        <v>848</v>
      </c>
      <c r="R226" s="15" t="s">
        <v>849</v>
      </c>
      <c r="S226" t="s">
        <v>606</v>
      </c>
      <c r="T226" s="9">
        <v>43026</v>
      </c>
      <c r="U226" s="9">
        <v>43034</v>
      </c>
      <c r="V226" s="12">
        <v>514</v>
      </c>
      <c r="W226" s="12">
        <v>40</v>
      </c>
      <c r="X226" s="17">
        <v>0.25</v>
      </c>
      <c r="Y226">
        <v>118.5</v>
      </c>
      <c r="Z226" s="12">
        <v>158.5</v>
      </c>
      <c r="AA226" s="12">
        <v>25.306722689075627</v>
      </c>
      <c r="AB226" s="12">
        <v>315.5</v>
      </c>
      <c r="AF226" s="18">
        <f t="shared" si="3"/>
        <v>0</v>
      </c>
    </row>
    <row r="227" spans="1:32" customFormat="1" x14ac:dyDescent="0.25">
      <c r="A227" t="s">
        <v>11</v>
      </c>
      <c r="B227" t="s">
        <v>113</v>
      </c>
      <c r="C227" t="s">
        <v>608</v>
      </c>
      <c r="D227" s="9">
        <v>43026</v>
      </c>
      <c r="E227" s="9">
        <v>43028</v>
      </c>
      <c r="F227">
        <v>236</v>
      </c>
      <c r="G227">
        <v>1</v>
      </c>
      <c r="H227">
        <v>65</v>
      </c>
      <c r="I227" t="s">
        <v>609</v>
      </c>
      <c r="J227">
        <v>10101</v>
      </c>
      <c r="K227" t="s">
        <v>11</v>
      </c>
      <c r="L227" t="s">
        <v>856</v>
      </c>
      <c r="M227" t="s">
        <v>856</v>
      </c>
      <c r="N227" t="s">
        <v>857</v>
      </c>
      <c r="O227" s="14" t="s">
        <v>858</v>
      </c>
      <c r="P227" t="s">
        <v>859</v>
      </c>
      <c r="Q227" s="15" t="s">
        <v>848</v>
      </c>
      <c r="R227" s="15" t="s">
        <v>849</v>
      </c>
      <c r="S227" t="s">
        <v>608</v>
      </c>
      <c r="T227" s="9">
        <v>43026</v>
      </c>
      <c r="U227" s="9">
        <v>43028</v>
      </c>
      <c r="V227" s="12">
        <v>236</v>
      </c>
      <c r="W227" s="12">
        <v>65</v>
      </c>
      <c r="X227" s="17">
        <v>0.25</v>
      </c>
      <c r="Y227">
        <v>42.75</v>
      </c>
      <c r="Z227" s="12">
        <v>107.75</v>
      </c>
      <c r="AA227" s="12">
        <v>17.20378151260504</v>
      </c>
      <c r="AB227" s="12">
        <v>63.25</v>
      </c>
      <c r="AF227" s="18">
        <f t="shared" si="3"/>
        <v>0</v>
      </c>
    </row>
    <row r="228" spans="1:32" customFormat="1" x14ac:dyDescent="0.25">
      <c r="A228" t="s">
        <v>11</v>
      </c>
      <c r="B228" t="s">
        <v>610</v>
      </c>
      <c r="C228" t="s">
        <v>611</v>
      </c>
      <c r="D228" s="9">
        <v>43027</v>
      </c>
      <c r="E228" s="9">
        <v>43030</v>
      </c>
      <c r="F228">
        <v>243</v>
      </c>
      <c r="G228">
        <v>1</v>
      </c>
      <c r="H228">
        <v>30</v>
      </c>
      <c r="I228" t="s">
        <v>612</v>
      </c>
      <c r="J228">
        <v>10080</v>
      </c>
      <c r="K228" t="s">
        <v>11</v>
      </c>
      <c r="L228" t="s">
        <v>610</v>
      </c>
      <c r="M228" t="s">
        <v>610</v>
      </c>
      <c r="N228" t="s">
        <v>1101</v>
      </c>
      <c r="O228" s="14">
        <v>80538</v>
      </c>
      <c r="P228" t="s">
        <v>1102</v>
      </c>
      <c r="Q228" s="15" t="s">
        <v>848</v>
      </c>
      <c r="R228" s="15" t="s">
        <v>849</v>
      </c>
      <c r="S228" t="s">
        <v>611</v>
      </c>
      <c r="T228" s="9">
        <v>43027</v>
      </c>
      <c r="U228" s="9">
        <v>43030</v>
      </c>
      <c r="V228" s="12">
        <v>243</v>
      </c>
      <c r="W228" s="12">
        <v>30</v>
      </c>
      <c r="X228" s="17">
        <v>0.25</v>
      </c>
      <c r="Y228">
        <v>53.25</v>
      </c>
      <c r="Z228" s="12">
        <v>83.25</v>
      </c>
      <c r="AA228" s="12">
        <v>13.292016806722689</v>
      </c>
      <c r="AB228" s="12">
        <v>129.75</v>
      </c>
      <c r="AF228" s="18">
        <f t="shared" si="3"/>
        <v>0</v>
      </c>
    </row>
    <row r="229" spans="1:32" customFormat="1" x14ac:dyDescent="0.25">
      <c r="A229" t="s">
        <v>9</v>
      </c>
      <c r="B229" t="s">
        <v>10</v>
      </c>
      <c r="C229" t="s">
        <v>613</v>
      </c>
      <c r="D229" s="9">
        <v>43027</v>
      </c>
      <c r="E229" s="9">
        <v>43030</v>
      </c>
      <c r="F229">
        <v>280</v>
      </c>
      <c r="H229">
        <v>35</v>
      </c>
      <c r="I229" t="s">
        <v>614</v>
      </c>
      <c r="J229">
        <v>20024</v>
      </c>
      <c r="K229" t="s">
        <v>9</v>
      </c>
      <c r="L229" t="s">
        <v>10</v>
      </c>
      <c r="M229" t="s">
        <v>10</v>
      </c>
      <c r="N229" t="s">
        <v>886</v>
      </c>
      <c r="O229" s="14">
        <v>60316</v>
      </c>
      <c r="P229" t="s">
        <v>887</v>
      </c>
      <c r="Q229" s="15" t="s">
        <v>849</v>
      </c>
      <c r="R229" s="15" t="s">
        <v>848</v>
      </c>
      <c r="S229" t="s">
        <v>613</v>
      </c>
      <c r="T229" s="9">
        <v>43027</v>
      </c>
      <c r="U229" s="9">
        <v>43030</v>
      </c>
      <c r="V229" s="12">
        <v>280</v>
      </c>
      <c r="W229" s="12">
        <v>35</v>
      </c>
      <c r="X229" s="17">
        <v>0.25</v>
      </c>
      <c r="Y229">
        <v>61.25</v>
      </c>
      <c r="Z229" s="12">
        <v>96.25</v>
      </c>
      <c r="AA229" s="12">
        <v>15.367647058823529</v>
      </c>
      <c r="AB229" s="12">
        <v>148.75</v>
      </c>
      <c r="AF229" s="18">
        <f t="shared" si="3"/>
        <v>0</v>
      </c>
    </row>
    <row r="230" spans="1:32" customFormat="1" x14ac:dyDescent="0.25">
      <c r="A230" t="s">
        <v>38</v>
      </c>
      <c r="B230" t="s">
        <v>44</v>
      </c>
      <c r="C230" t="s">
        <v>45</v>
      </c>
      <c r="D230" s="9">
        <v>43027</v>
      </c>
      <c r="E230" s="9">
        <v>43030</v>
      </c>
      <c r="F230">
        <v>282</v>
      </c>
      <c r="H230">
        <v>35</v>
      </c>
      <c r="I230" t="s">
        <v>615</v>
      </c>
      <c r="J230">
        <v>40014</v>
      </c>
      <c r="K230" t="s">
        <v>38</v>
      </c>
      <c r="L230" t="s">
        <v>44</v>
      </c>
      <c r="M230" t="s">
        <v>44</v>
      </c>
      <c r="N230" t="s">
        <v>912</v>
      </c>
      <c r="O230" s="14">
        <v>50672</v>
      </c>
      <c r="P230" t="s">
        <v>913</v>
      </c>
      <c r="Q230" s="15" t="s">
        <v>848</v>
      </c>
      <c r="R230" s="15" t="s">
        <v>849</v>
      </c>
      <c r="S230" t="s">
        <v>45</v>
      </c>
      <c r="T230" s="9">
        <v>43027</v>
      </c>
      <c r="U230" s="9">
        <v>43030</v>
      </c>
      <c r="V230" s="12">
        <v>282</v>
      </c>
      <c r="W230" s="12">
        <v>35</v>
      </c>
      <c r="X230" s="17">
        <v>0.2</v>
      </c>
      <c r="Y230">
        <v>49.400000000000006</v>
      </c>
      <c r="Z230" s="12">
        <v>84.4</v>
      </c>
      <c r="AA230" s="12">
        <v>13.47563025210084</v>
      </c>
      <c r="AB230" s="12">
        <v>162.6</v>
      </c>
      <c r="AF230" s="18">
        <f t="shared" si="3"/>
        <v>0</v>
      </c>
    </row>
    <row r="231" spans="1:32" customFormat="1" x14ac:dyDescent="0.25">
      <c r="A231" t="s">
        <v>18</v>
      </c>
      <c r="B231" t="s">
        <v>34</v>
      </c>
      <c r="C231" t="s">
        <v>616</v>
      </c>
      <c r="D231" s="9">
        <v>43027</v>
      </c>
      <c r="E231" s="9">
        <v>43030</v>
      </c>
      <c r="F231">
        <v>547</v>
      </c>
      <c r="G231" t="s">
        <v>617</v>
      </c>
      <c r="H231">
        <v>60</v>
      </c>
      <c r="I231" t="s">
        <v>618</v>
      </c>
      <c r="J231">
        <v>60001</v>
      </c>
      <c r="K231" t="s">
        <v>18</v>
      </c>
      <c r="L231" t="s">
        <v>903</v>
      </c>
      <c r="M231" t="s">
        <v>903</v>
      </c>
      <c r="N231" t="s">
        <v>904</v>
      </c>
      <c r="O231" s="14">
        <v>10247</v>
      </c>
      <c r="P231" t="s">
        <v>905</v>
      </c>
      <c r="Q231" s="15" t="s">
        <v>849</v>
      </c>
      <c r="R231" s="15" t="s">
        <v>848</v>
      </c>
      <c r="S231" t="s">
        <v>616</v>
      </c>
      <c r="T231" s="9">
        <v>43027</v>
      </c>
      <c r="U231" s="9">
        <v>43030</v>
      </c>
      <c r="V231" s="12">
        <v>547</v>
      </c>
      <c r="W231" s="12">
        <v>60</v>
      </c>
      <c r="X231" s="17">
        <v>0.25</v>
      </c>
      <c r="Y231">
        <v>121.75</v>
      </c>
      <c r="Z231" s="12">
        <v>181.75</v>
      </c>
      <c r="AA231" s="12">
        <v>29.018907563025209</v>
      </c>
      <c r="AB231" s="12">
        <v>305.25</v>
      </c>
      <c r="AF231" s="18">
        <f t="shared" si="3"/>
        <v>0</v>
      </c>
    </row>
    <row r="232" spans="1:32" customFormat="1" x14ac:dyDescent="0.25">
      <c r="A232" t="s">
        <v>15</v>
      </c>
      <c r="B232" t="s">
        <v>577</v>
      </c>
      <c r="C232" t="s">
        <v>619</v>
      </c>
      <c r="D232" s="9">
        <v>43027</v>
      </c>
      <c r="E232" s="9">
        <v>43029</v>
      </c>
      <c r="F232">
        <v>188</v>
      </c>
      <c r="H232">
        <v>35</v>
      </c>
      <c r="I232" t="s">
        <v>620</v>
      </c>
      <c r="J232">
        <v>30034</v>
      </c>
      <c r="K232" t="s">
        <v>15</v>
      </c>
      <c r="L232" t="s">
        <v>577</v>
      </c>
      <c r="M232" t="s">
        <v>1093</v>
      </c>
      <c r="N232" t="s">
        <v>1094</v>
      </c>
      <c r="O232" s="14">
        <v>10405</v>
      </c>
      <c r="P232" t="s">
        <v>1095</v>
      </c>
      <c r="Q232" s="15" t="s">
        <v>848</v>
      </c>
      <c r="R232" s="15" t="s">
        <v>849</v>
      </c>
      <c r="S232" t="s">
        <v>619</v>
      </c>
      <c r="T232" s="9">
        <v>43027</v>
      </c>
      <c r="U232" s="9">
        <v>43029</v>
      </c>
      <c r="V232" s="12">
        <v>188</v>
      </c>
      <c r="W232" s="12">
        <v>35</v>
      </c>
      <c r="X232" s="17">
        <v>0.25</v>
      </c>
      <c r="Y232">
        <v>38.25</v>
      </c>
      <c r="Z232" s="12">
        <v>73.25</v>
      </c>
      <c r="AA232" s="12">
        <v>11.695378151260504</v>
      </c>
      <c r="AB232" s="12">
        <v>79.75</v>
      </c>
      <c r="AF232" s="18">
        <f t="shared" si="3"/>
        <v>0</v>
      </c>
    </row>
    <row r="233" spans="1:32" customFormat="1" x14ac:dyDescent="0.25">
      <c r="A233" t="s">
        <v>12</v>
      </c>
      <c r="B233" t="s">
        <v>33</v>
      </c>
      <c r="C233" t="s">
        <v>621</v>
      </c>
      <c r="D233" s="9">
        <v>43027</v>
      </c>
      <c r="E233" s="9">
        <v>43029</v>
      </c>
      <c r="F233">
        <v>150</v>
      </c>
      <c r="G233" t="s">
        <v>236</v>
      </c>
      <c r="H233">
        <v>30</v>
      </c>
      <c r="I233" t="s">
        <v>622</v>
      </c>
      <c r="J233">
        <v>50005</v>
      </c>
      <c r="K233" t="s">
        <v>12</v>
      </c>
      <c r="L233" t="s">
        <v>33</v>
      </c>
      <c r="M233" t="s">
        <v>33</v>
      </c>
      <c r="N233" t="s">
        <v>862</v>
      </c>
      <c r="O233" s="14">
        <v>20359</v>
      </c>
      <c r="P233" t="s">
        <v>863</v>
      </c>
      <c r="Q233" s="15" t="s">
        <v>848</v>
      </c>
      <c r="R233" s="15" t="s">
        <v>849</v>
      </c>
      <c r="S233" t="s">
        <v>621</v>
      </c>
      <c r="T233" s="9">
        <v>43027</v>
      </c>
      <c r="U233" s="9">
        <v>43029</v>
      </c>
      <c r="V233" s="12">
        <v>150</v>
      </c>
      <c r="W233" s="12">
        <v>30</v>
      </c>
      <c r="X233" s="17">
        <v>0.25</v>
      </c>
      <c r="Y233">
        <v>30</v>
      </c>
      <c r="Z233" s="12">
        <v>60</v>
      </c>
      <c r="AA233" s="12">
        <v>9.579831932773109</v>
      </c>
      <c r="AB233" s="12">
        <v>60</v>
      </c>
      <c r="AF233" s="18">
        <f t="shared" si="3"/>
        <v>0</v>
      </c>
    </row>
    <row r="234" spans="1:32" customFormat="1" x14ac:dyDescent="0.25">
      <c r="A234" t="s">
        <v>11</v>
      </c>
      <c r="B234" t="s">
        <v>424</v>
      </c>
      <c r="C234" t="s">
        <v>623</v>
      </c>
      <c r="D234" s="9">
        <v>43027</v>
      </c>
      <c r="E234" s="9">
        <v>43031</v>
      </c>
      <c r="F234">
        <v>307</v>
      </c>
      <c r="G234">
        <v>1</v>
      </c>
      <c r="H234">
        <v>35</v>
      </c>
      <c r="I234" t="s">
        <v>624</v>
      </c>
      <c r="J234">
        <v>10107</v>
      </c>
      <c r="K234" t="s">
        <v>11</v>
      </c>
      <c r="L234" t="s">
        <v>424</v>
      </c>
      <c r="M234" t="s">
        <v>424</v>
      </c>
      <c r="N234" t="s">
        <v>1056</v>
      </c>
      <c r="O234" s="14">
        <v>81677</v>
      </c>
      <c r="P234" t="s">
        <v>1057</v>
      </c>
      <c r="Q234" s="15" t="s">
        <v>848</v>
      </c>
      <c r="R234" s="15" t="s">
        <v>849</v>
      </c>
      <c r="S234" t="s">
        <v>623</v>
      </c>
      <c r="T234" s="9">
        <v>43027</v>
      </c>
      <c r="U234" s="9">
        <v>43031</v>
      </c>
      <c r="V234" s="12">
        <v>307</v>
      </c>
      <c r="W234" s="12">
        <v>35</v>
      </c>
      <c r="X234" s="17">
        <v>0.25</v>
      </c>
      <c r="Y234">
        <v>68</v>
      </c>
      <c r="Z234" s="12">
        <v>103</v>
      </c>
      <c r="AA234" s="12">
        <v>16.445378151260506</v>
      </c>
      <c r="AB234" s="12">
        <v>169</v>
      </c>
      <c r="AF234" s="18">
        <f t="shared" si="3"/>
        <v>0</v>
      </c>
    </row>
    <row r="235" spans="1:32" customFormat="1" x14ac:dyDescent="0.25">
      <c r="A235" t="s">
        <v>38</v>
      </c>
      <c r="B235" t="s">
        <v>39</v>
      </c>
      <c r="C235" t="s">
        <v>625</v>
      </c>
      <c r="D235" s="9">
        <v>43028</v>
      </c>
      <c r="E235" s="9">
        <v>43033</v>
      </c>
      <c r="F235">
        <v>447</v>
      </c>
      <c r="G235">
        <v>2</v>
      </c>
      <c r="H235">
        <v>40</v>
      </c>
      <c r="I235" t="s">
        <v>626</v>
      </c>
      <c r="J235">
        <v>40010</v>
      </c>
      <c r="K235" t="s">
        <v>38</v>
      </c>
      <c r="L235" t="s">
        <v>879</v>
      </c>
      <c r="M235" t="s">
        <v>880</v>
      </c>
      <c r="N235" t="s">
        <v>881</v>
      </c>
      <c r="O235" s="14">
        <v>50670</v>
      </c>
      <c r="P235" t="s">
        <v>882</v>
      </c>
      <c r="Q235" s="15" t="s">
        <v>849</v>
      </c>
      <c r="R235" s="15" t="s">
        <v>848</v>
      </c>
      <c r="S235" t="s">
        <v>625</v>
      </c>
      <c r="T235" s="9">
        <v>43028</v>
      </c>
      <c r="U235" s="9">
        <v>43033</v>
      </c>
      <c r="V235" s="12">
        <v>447</v>
      </c>
      <c r="W235" s="12">
        <v>40</v>
      </c>
      <c r="X235" s="17">
        <v>0.2</v>
      </c>
      <c r="Y235">
        <v>81.400000000000006</v>
      </c>
      <c r="Z235" s="12">
        <v>121.4</v>
      </c>
      <c r="AA235" s="12">
        <v>19.383193277310927</v>
      </c>
      <c r="AB235" s="12">
        <v>285.60000000000002</v>
      </c>
      <c r="AF235" s="18">
        <f t="shared" si="3"/>
        <v>0</v>
      </c>
    </row>
    <row r="236" spans="1:32" customFormat="1" x14ac:dyDescent="0.25">
      <c r="A236" t="s">
        <v>12</v>
      </c>
      <c r="B236" t="s">
        <v>13</v>
      </c>
      <c r="C236" t="s">
        <v>627</v>
      </c>
      <c r="D236" s="9">
        <v>43028</v>
      </c>
      <c r="E236" s="9">
        <v>43030</v>
      </c>
      <c r="F236">
        <v>228</v>
      </c>
      <c r="H236">
        <v>35</v>
      </c>
      <c r="I236" t="s">
        <v>628</v>
      </c>
      <c r="J236">
        <v>50014</v>
      </c>
      <c r="K236" t="s">
        <v>12</v>
      </c>
      <c r="L236" t="s">
        <v>950</v>
      </c>
      <c r="M236" t="s">
        <v>950</v>
      </c>
      <c r="N236" t="s">
        <v>951</v>
      </c>
      <c r="O236" s="14">
        <v>22767</v>
      </c>
      <c r="P236" t="s">
        <v>952</v>
      </c>
      <c r="Q236" s="15" t="s">
        <v>848</v>
      </c>
      <c r="R236" s="15" t="s">
        <v>849</v>
      </c>
      <c r="S236" t="s">
        <v>627</v>
      </c>
      <c r="T236" s="9">
        <v>43028</v>
      </c>
      <c r="U236" s="9">
        <v>43030</v>
      </c>
      <c r="V236" s="12">
        <v>228</v>
      </c>
      <c r="W236" s="12">
        <v>35</v>
      </c>
      <c r="X236" s="17">
        <v>0.25</v>
      </c>
      <c r="Y236">
        <v>48.25</v>
      </c>
      <c r="Z236" s="12">
        <v>83.25</v>
      </c>
      <c r="AA236" s="12">
        <v>13.292016806722689</v>
      </c>
      <c r="AB236" s="12">
        <v>109.75</v>
      </c>
      <c r="AF236" s="18">
        <f t="shared" si="3"/>
        <v>0</v>
      </c>
    </row>
    <row r="237" spans="1:32" customFormat="1" x14ac:dyDescent="0.25">
      <c r="A237" t="s">
        <v>15</v>
      </c>
      <c r="B237" t="s">
        <v>25</v>
      </c>
      <c r="C237" t="s">
        <v>629</v>
      </c>
      <c r="D237" s="9">
        <v>43028</v>
      </c>
      <c r="E237" s="9">
        <v>43030</v>
      </c>
      <c r="F237">
        <v>257</v>
      </c>
      <c r="H237">
        <v>45</v>
      </c>
      <c r="I237" t="s">
        <v>630</v>
      </c>
      <c r="J237">
        <v>30023</v>
      </c>
      <c r="K237" t="s">
        <v>15</v>
      </c>
      <c r="L237" t="s">
        <v>892</v>
      </c>
      <c r="M237" t="s">
        <v>892</v>
      </c>
      <c r="N237" t="s">
        <v>893</v>
      </c>
      <c r="O237" s="14">
        <v>40225</v>
      </c>
      <c r="P237" t="s">
        <v>894</v>
      </c>
      <c r="Q237" s="15" t="s">
        <v>848</v>
      </c>
      <c r="R237" s="15" t="s">
        <v>849</v>
      </c>
      <c r="S237" t="s">
        <v>629</v>
      </c>
      <c r="T237" s="9">
        <v>43028</v>
      </c>
      <c r="U237" s="9">
        <v>43030</v>
      </c>
      <c r="V237" s="12">
        <v>257</v>
      </c>
      <c r="W237" s="12">
        <v>45</v>
      </c>
      <c r="X237" s="17">
        <v>0.2</v>
      </c>
      <c r="Y237">
        <v>42.400000000000006</v>
      </c>
      <c r="Z237" s="12">
        <v>87.4</v>
      </c>
      <c r="AA237" s="12">
        <v>13.954621848739496</v>
      </c>
      <c r="AB237" s="12">
        <v>124.6</v>
      </c>
      <c r="AF237" s="18">
        <f t="shared" si="3"/>
        <v>0</v>
      </c>
    </row>
    <row r="238" spans="1:32" customFormat="1" x14ac:dyDescent="0.25">
      <c r="A238" t="s">
        <v>15</v>
      </c>
      <c r="B238" t="s">
        <v>17</v>
      </c>
      <c r="C238" t="s">
        <v>631</v>
      </c>
      <c r="D238" s="9">
        <v>43028</v>
      </c>
      <c r="E238" s="9">
        <v>43030</v>
      </c>
      <c r="F238">
        <v>267</v>
      </c>
      <c r="H238">
        <v>40</v>
      </c>
      <c r="I238" t="s">
        <v>632</v>
      </c>
      <c r="J238">
        <v>30022</v>
      </c>
      <c r="K238" t="s">
        <v>15</v>
      </c>
      <c r="L238" t="s">
        <v>892</v>
      </c>
      <c r="M238" t="s">
        <v>892</v>
      </c>
      <c r="N238" t="s">
        <v>893</v>
      </c>
      <c r="O238" s="14">
        <v>40225</v>
      </c>
      <c r="P238" t="s">
        <v>894</v>
      </c>
      <c r="Q238" s="15" t="s">
        <v>848</v>
      </c>
      <c r="R238" s="15" t="s">
        <v>849</v>
      </c>
      <c r="S238" t="s">
        <v>631</v>
      </c>
      <c r="T238" s="9">
        <v>43028</v>
      </c>
      <c r="U238" s="9">
        <v>43030</v>
      </c>
      <c r="V238" s="12">
        <v>267</v>
      </c>
      <c r="W238" s="12">
        <v>40</v>
      </c>
      <c r="X238" s="17">
        <v>0.2</v>
      </c>
      <c r="Y238">
        <v>45.400000000000006</v>
      </c>
      <c r="Z238" s="12">
        <v>85.4</v>
      </c>
      <c r="AA238" s="12">
        <v>13.635294117647058</v>
      </c>
      <c r="AB238" s="12">
        <v>141.6</v>
      </c>
      <c r="AF238" s="18">
        <f t="shared" si="3"/>
        <v>0</v>
      </c>
    </row>
    <row r="239" spans="1:32" customFormat="1" x14ac:dyDescent="0.25">
      <c r="A239" t="s">
        <v>12</v>
      </c>
      <c r="B239" t="s">
        <v>590</v>
      </c>
      <c r="C239" t="s">
        <v>633</v>
      </c>
      <c r="D239" s="9">
        <v>43028</v>
      </c>
      <c r="E239" s="9">
        <v>43034</v>
      </c>
      <c r="F239">
        <v>352</v>
      </c>
      <c r="H239">
        <v>35</v>
      </c>
      <c r="I239" t="s">
        <v>634</v>
      </c>
      <c r="J239">
        <v>50035</v>
      </c>
      <c r="K239" t="s">
        <v>12</v>
      </c>
      <c r="L239" t="s">
        <v>33</v>
      </c>
      <c r="M239" t="s">
        <v>33</v>
      </c>
      <c r="N239" t="s">
        <v>862</v>
      </c>
      <c r="O239" s="14">
        <v>20359</v>
      </c>
      <c r="P239" t="s">
        <v>863</v>
      </c>
      <c r="Q239" s="15" t="s">
        <v>848</v>
      </c>
      <c r="R239" s="15" t="s">
        <v>849</v>
      </c>
      <c r="S239" t="s">
        <v>633</v>
      </c>
      <c r="T239" s="9">
        <v>43028</v>
      </c>
      <c r="U239" s="9">
        <v>43034</v>
      </c>
      <c r="V239" s="12">
        <v>352</v>
      </c>
      <c r="W239" s="12">
        <v>35</v>
      </c>
      <c r="X239" s="17">
        <v>0.25</v>
      </c>
      <c r="Y239">
        <v>79.25</v>
      </c>
      <c r="Z239" s="12">
        <v>114.25</v>
      </c>
      <c r="AA239" s="12">
        <v>18.241596638655462</v>
      </c>
      <c r="AB239" s="12">
        <v>202.75</v>
      </c>
      <c r="AF239" s="18">
        <f t="shared" si="3"/>
        <v>0</v>
      </c>
    </row>
    <row r="240" spans="1:32" customFormat="1" x14ac:dyDescent="0.25">
      <c r="A240" t="s">
        <v>11</v>
      </c>
      <c r="B240" t="s">
        <v>69</v>
      </c>
      <c r="C240" t="s">
        <v>635</v>
      </c>
      <c r="D240" s="9">
        <v>43028</v>
      </c>
      <c r="E240" s="9">
        <v>43030</v>
      </c>
      <c r="F240">
        <v>205</v>
      </c>
      <c r="H240">
        <v>40</v>
      </c>
      <c r="I240" t="s">
        <v>636</v>
      </c>
      <c r="J240">
        <v>10098</v>
      </c>
      <c r="K240" t="s">
        <v>11</v>
      </c>
      <c r="L240" t="s">
        <v>869</v>
      </c>
      <c r="M240" t="s">
        <v>869</v>
      </c>
      <c r="N240" t="s">
        <v>870</v>
      </c>
      <c r="O240" s="14">
        <v>80469</v>
      </c>
      <c r="P240" t="s">
        <v>871</v>
      </c>
      <c r="Q240" s="15" t="s">
        <v>848</v>
      </c>
      <c r="R240" s="15" t="s">
        <v>849</v>
      </c>
      <c r="S240" t="s">
        <v>635</v>
      </c>
      <c r="T240" s="9">
        <v>43028</v>
      </c>
      <c r="U240" s="9">
        <v>43030</v>
      </c>
      <c r="V240" s="12">
        <v>205</v>
      </c>
      <c r="W240" s="12">
        <v>40</v>
      </c>
      <c r="X240" s="17">
        <v>0.25</v>
      </c>
      <c r="Y240">
        <v>41.25</v>
      </c>
      <c r="Z240" s="12">
        <v>81.25</v>
      </c>
      <c r="AA240" s="12">
        <v>12.972689075630253</v>
      </c>
      <c r="AB240" s="12">
        <v>83.75</v>
      </c>
      <c r="AF240" s="18">
        <f t="shared" si="3"/>
        <v>0</v>
      </c>
    </row>
    <row r="241" spans="1:32" customFormat="1" x14ac:dyDescent="0.25">
      <c r="A241" t="s">
        <v>11</v>
      </c>
      <c r="B241" t="s">
        <v>56</v>
      </c>
      <c r="C241" t="s">
        <v>637</v>
      </c>
      <c r="D241" s="9">
        <v>43028</v>
      </c>
      <c r="E241" s="9">
        <v>43030</v>
      </c>
      <c r="F241">
        <v>229</v>
      </c>
      <c r="H241">
        <v>35</v>
      </c>
      <c r="I241" t="s">
        <v>638</v>
      </c>
      <c r="J241">
        <v>10076</v>
      </c>
      <c r="K241" t="s">
        <v>11</v>
      </c>
      <c r="L241" t="s">
        <v>56</v>
      </c>
      <c r="M241" t="s">
        <v>56</v>
      </c>
      <c r="N241" t="s">
        <v>1085</v>
      </c>
      <c r="O241" s="14" t="s">
        <v>1086</v>
      </c>
      <c r="P241" t="s">
        <v>1087</v>
      </c>
      <c r="Q241" s="15" t="s">
        <v>848</v>
      </c>
      <c r="R241" s="15" t="s">
        <v>849</v>
      </c>
      <c r="S241" t="s">
        <v>637</v>
      </c>
      <c r="T241" s="9">
        <v>43028</v>
      </c>
      <c r="U241" s="9">
        <v>43030</v>
      </c>
      <c r="V241" s="12">
        <v>229</v>
      </c>
      <c r="W241" s="12">
        <v>35</v>
      </c>
      <c r="X241" s="17">
        <v>0.25</v>
      </c>
      <c r="Y241">
        <v>48.5</v>
      </c>
      <c r="Z241" s="12">
        <v>83.5</v>
      </c>
      <c r="AA241" s="12">
        <v>13.331932773109243</v>
      </c>
      <c r="AB241" s="12">
        <v>110.5</v>
      </c>
      <c r="AF241" s="18">
        <f t="shared" si="3"/>
        <v>0</v>
      </c>
    </row>
    <row r="242" spans="1:32" customFormat="1" x14ac:dyDescent="0.25">
      <c r="A242" t="s">
        <v>12</v>
      </c>
      <c r="B242" t="s">
        <v>205</v>
      </c>
      <c r="C242" t="s">
        <v>639</v>
      </c>
      <c r="D242" s="9">
        <v>43028</v>
      </c>
      <c r="E242" s="9">
        <v>43031</v>
      </c>
      <c r="F242">
        <v>182</v>
      </c>
      <c r="G242" t="s">
        <v>640</v>
      </c>
      <c r="H242">
        <v>40</v>
      </c>
      <c r="I242" t="s">
        <v>641</v>
      </c>
      <c r="J242">
        <v>50040</v>
      </c>
      <c r="K242" t="s">
        <v>12</v>
      </c>
      <c r="L242" t="s">
        <v>953</v>
      </c>
      <c r="M242" t="s">
        <v>953</v>
      </c>
      <c r="N242" t="s">
        <v>954</v>
      </c>
      <c r="O242" s="14">
        <v>24837</v>
      </c>
      <c r="P242" t="s">
        <v>955</v>
      </c>
      <c r="Q242" s="15" t="s">
        <v>848</v>
      </c>
      <c r="R242" s="15" t="s">
        <v>849</v>
      </c>
      <c r="S242" t="s">
        <v>639</v>
      </c>
      <c r="T242" s="9">
        <v>43028</v>
      </c>
      <c r="U242" s="9">
        <v>43031</v>
      </c>
      <c r="V242" s="12">
        <v>182</v>
      </c>
      <c r="W242" s="12">
        <v>40</v>
      </c>
      <c r="X242" s="17">
        <v>0.25</v>
      </c>
      <c r="Y242">
        <v>35.5</v>
      </c>
      <c r="Z242" s="12">
        <v>75.5</v>
      </c>
      <c r="AA242" s="12">
        <v>12.054621848739496</v>
      </c>
      <c r="AB242" s="12">
        <v>66.5</v>
      </c>
      <c r="AF242" s="18">
        <f t="shared" si="3"/>
        <v>0</v>
      </c>
    </row>
    <row r="243" spans="1:32" customFormat="1" x14ac:dyDescent="0.25">
      <c r="A243" t="s">
        <v>15</v>
      </c>
      <c r="B243" t="s">
        <v>74</v>
      </c>
      <c r="C243" t="s">
        <v>642</v>
      </c>
      <c r="D243" s="9">
        <v>43028</v>
      </c>
      <c r="E243" s="9">
        <v>43030</v>
      </c>
      <c r="F243">
        <v>96</v>
      </c>
      <c r="G243">
        <v>1</v>
      </c>
      <c r="H243">
        <v>30</v>
      </c>
      <c r="I243" t="s">
        <v>643</v>
      </c>
      <c r="J243">
        <v>30004</v>
      </c>
      <c r="K243" t="s">
        <v>15</v>
      </c>
      <c r="L243" t="s">
        <v>1088</v>
      </c>
      <c r="M243" t="s">
        <v>1088</v>
      </c>
      <c r="N243" t="s">
        <v>1089</v>
      </c>
      <c r="O243" s="14">
        <v>40231</v>
      </c>
      <c r="P243" t="s">
        <v>1090</v>
      </c>
      <c r="Q243" s="15" t="s">
        <v>848</v>
      </c>
      <c r="R243" s="15" t="s">
        <v>849</v>
      </c>
      <c r="S243" t="s">
        <v>642</v>
      </c>
      <c r="T243" s="9">
        <v>43028</v>
      </c>
      <c r="U243" s="9">
        <v>43030</v>
      </c>
      <c r="V243" s="12">
        <v>96</v>
      </c>
      <c r="W243" s="12">
        <v>30</v>
      </c>
      <c r="X243" s="17">
        <v>0.25</v>
      </c>
      <c r="Y243">
        <v>16.5</v>
      </c>
      <c r="Z243" s="12">
        <v>46.5</v>
      </c>
      <c r="AA243" s="12">
        <v>7.4243697478991599</v>
      </c>
      <c r="AB243" s="12">
        <v>19.5</v>
      </c>
      <c r="AF243" s="18">
        <f t="shared" si="3"/>
        <v>0</v>
      </c>
    </row>
    <row r="244" spans="1:32" customFormat="1" x14ac:dyDescent="0.25">
      <c r="A244" t="s">
        <v>18</v>
      </c>
      <c r="B244" t="s">
        <v>214</v>
      </c>
      <c r="C244" t="s">
        <v>644</v>
      </c>
      <c r="D244" s="9">
        <v>43028</v>
      </c>
      <c r="E244" s="9">
        <v>43030</v>
      </c>
      <c r="F244">
        <v>141</v>
      </c>
      <c r="G244">
        <v>2</v>
      </c>
      <c r="H244">
        <v>35</v>
      </c>
      <c r="I244" t="s">
        <v>645</v>
      </c>
      <c r="J244">
        <v>60030</v>
      </c>
      <c r="K244" t="s">
        <v>18</v>
      </c>
      <c r="L244" t="s">
        <v>214</v>
      </c>
      <c r="M244" t="s">
        <v>214</v>
      </c>
      <c r="N244" t="s">
        <v>962</v>
      </c>
      <c r="O244" s="14">
        <v>10439</v>
      </c>
      <c r="P244" t="s">
        <v>963</v>
      </c>
      <c r="Q244" s="15" t="s">
        <v>848</v>
      </c>
      <c r="R244" s="15" t="s">
        <v>849</v>
      </c>
      <c r="S244" t="s">
        <v>644</v>
      </c>
      <c r="T244" s="9">
        <v>43028</v>
      </c>
      <c r="U244" s="9">
        <v>43030</v>
      </c>
      <c r="V244" s="12">
        <v>141</v>
      </c>
      <c r="W244" s="12">
        <v>35</v>
      </c>
      <c r="X244" s="17">
        <v>0.25</v>
      </c>
      <c r="Y244">
        <v>26.5</v>
      </c>
      <c r="Z244" s="12">
        <v>61.5</v>
      </c>
      <c r="AA244" s="12">
        <v>9.8193277310924376</v>
      </c>
      <c r="AB244" s="12">
        <v>44.5</v>
      </c>
      <c r="AF244" s="18">
        <f t="shared" si="3"/>
        <v>0</v>
      </c>
    </row>
    <row r="245" spans="1:32" customFormat="1" x14ac:dyDescent="0.25">
      <c r="A245" t="s">
        <v>12</v>
      </c>
      <c r="B245" t="s">
        <v>538</v>
      </c>
      <c r="C245" t="s">
        <v>646</v>
      </c>
      <c r="D245" s="9">
        <v>43028</v>
      </c>
      <c r="E245" s="9">
        <v>43030</v>
      </c>
      <c r="F245">
        <v>181</v>
      </c>
      <c r="G245">
        <v>1</v>
      </c>
      <c r="H245">
        <v>50</v>
      </c>
      <c r="I245" t="s">
        <v>647</v>
      </c>
      <c r="J245">
        <v>50041</v>
      </c>
      <c r="K245" t="s">
        <v>12</v>
      </c>
      <c r="L245" t="s">
        <v>538</v>
      </c>
      <c r="M245" t="s">
        <v>538</v>
      </c>
      <c r="N245" t="s">
        <v>1091</v>
      </c>
      <c r="O245" s="14">
        <v>22769</v>
      </c>
      <c r="P245" t="s">
        <v>1092</v>
      </c>
      <c r="Q245" s="15" t="s">
        <v>848</v>
      </c>
      <c r="R245" s="15" t="s">
        <v>849</v>
      </c>
      <c r="S245" t="s">
        <v>646</v>
      </c>
      <c r="T245" s="9">
        <v>43028</v>
      </c>
      <c r="U245" s="9">
        <v>43030</v>
      </c>
      <c r="V245" s="12">
        <v>181</v>
      </c>
      <c r="W245" s="12">
        <v>50</v>
      </c>
      <c r="X245" s="17">
        <v>0.25</v>
      </c>
      <c r="Y245">
        <v>32.75</v>
      </c>
      <c r="Z245" s="12">
        <v>82.75</v>
      </c>
      <c r="AA245" s="12">
        <v>13.21218487394958</v>
      </c>
      <c r="AB245" s="12">
        <v>48.25</v>
      </c>
      <c r="AF245" s="18">
        <f t="shared" si="3"/>
        <v>0</v>
      </c>
    </row>
    <row r="246" spans="1:32" customFormat="1" x14ac:dyDescent="0.25">
      <c r="A246" t="s">
        <v>11</v>
      </c>
      <c r="B246" t="s">
        <v>51</v>
      </c>
      <c r="C246" t="s">
        <v>648</v>
      </c>
      <c r="D246" s="9">
        <v>43028</v>
      </c>
      <c r="E246" s="9">
        <v>43030</v>
      </c>
      <c r="F246">
        <v>136</v>
      </c>
      <c r="G246">
        <v>1</v>
      </c>
      <c r="H246">
        <v>30</v>
      </c>
      <c r="I246" t="s">
        <v>649</v>
      </c>
      <c r="J246">
        <v>10085</v>
      </c>
      <c r="K246" t="s">
        <v>11</v>
      </c>
      <c r="L246" t="s">
        <v>964</v>
      </c>
      <c r="M246" t="s">
        <v>964</v>
      </c>
      <c r="N246" t="s">
        <v>965</v>
      </c>
      <c r="O246" s="14">
        <v>80337</v>
      </c>
      <c r="P246" t="s">
        <v>966</v>
      </c>
      <c r="Q246" s="15" t="s">
        <v>848</v>
      </c>
      <c r="R246" s="15" t="s">
        <v>849</v>
      </c>
      <c r="S246" t="s">
        <v>648</v>
      </c>
      <c r="T246" s="9">
        <v>43028</v>
      </c>
      <c r="U246" s="9">
        <v>43030</v>
      </c>
      <c r="V246" s="12">
        <v>136</v>
      </c>
      <c r="W246" s="12">
        <v>30</v>
      </c>
      <c r="X246" s="17">
        <v>0.25</v>
      </c>
      <c r="Y246">
        <v>26.5</v>
      </c>
      <c r="Z246" s="12">
        <v>56.5</v>
      </c>
      <c r="AA246" s="12">
        <v>9.0210084033613445</v>
      </c>
      <c r="AB246" s="12">
        <v>49.5</v>
      </c>
      <c r="AF246" s="18">
        <f t="shared" si="3"/>
        <v>0</v>
      </c>
    </row>
    <row r="247" spans="1:32" customFormat="1" x14ac:dyDescent="0.25">
      <c r="A247" t="s">
        <v>9</v>
      </c>
      <c r="B247" t="s">
        <v>28</v>
      </c>
      <c r="C247" t="s">
        <v>650</v>
      </c>
      <c r="D247" s="9">
        <v>43028</v>
      </c>
      <c r="E247" s="9">
        <v>43030</v>
      </c>
      <c r="F247">
        <v>106</v>
      </c>
      <c r="G247">
        <v>1</v>
      </c>
      <c r="H247">
        <v>30</v>
      </c>
      <c r="I247" t="s">
        <v>651</v>
      </c>
      <c r="J247">
        <v>20028</v>
      </c>
      <c r="K247" t="s">
        <v>9</v>
      </c>
      <c r="L247" t="s">
        <v>28</v>
      </c>
      <c r="M247" t="s">
        <v>28</v>
      </c>
      <c r="N247" t="s">
        <v>895</v>
      </c>
      <c r="O247" s="14">
        <v>60313</v>
      </c>
      <c r="P247" t="s">
        <v>896</v>
      </c>
      <c r="Q247" s="15" t="s">
        <v>848</v>
      </c>
      <c r="R247" s="15" t="s">
        <v>849</v>
      </c>
      <c r="S247" t="s">
        <v>650</v>
      </c>
      <c r="T247" s="9">
        <v>43028</v>
      </c>
      <c r="U247" s="9">
        <v>43030</v>
      </c>
      <c r="V247" s="12">
        <v>106</v>
      </c>
      <c r="W247" s="12">
        <v>30</v>
      </c>
      <c r="X247" s="17">
        <v>0.25</v>
      </c>
      <c r="Y247">
        <v>19</v>
      </c>
      <c r="Z247" s="12">
        <v>49</v>
      </c>
      <c r="AA247" s="12">
        <v>7.8235294117647056</v>
      </c>
      <c r="AB247" s="12">
        <v>27</v>
      </c>
      <c r="AF247" s="18">
        <f t="shared" si="3"/>
        <v>0</v>
      </c>
    </row>
    <row r="248" spans="1:32" customFormat="1" x14ac:dyDescent="0.25">
      <c r="A248" t="s">
        <v>18</v>
      </c>
      <c r="B248" t="s">
        <v>652</v>
      </c>
      <c r="C248" t="s">
        <v>653</v>
      </c>
      <c r="D248" s="9">
        <v>43029</v>
      </c>
      <c r="E248" s="9">
        <v>43033</v>
      </c>
      <c r="F248">
        <v>215</v>
      </c>
      <c r="G248" t="s">
        <v>654</v>
      </c>
      <c r="H248">
        <v>35</v>
      </c>
      <c r="I248" t="s">
        <v>655</v>
      </c>
      <c r="J248">
        <v>60017</v>
      </c>
      <c r="K248" t="s">
        <v>18</v>
      </c>
      <c r="L248" t="s">
        <v>652</v>
      </c>
      <c r="M248" t="s">
        <v>652</v>
      </c>
      <c r="N248" t="s">
        <v>1103</v>
      </c>
      <c r="O248" s="14">
        <v>10317</v>
      </c>
      <c r="P248" t="s">
        <v>1104</v>
      </c>
      <c r="Q248" s="15" t="s">
        <v>848</v>
      </c>
      <c r="R248" s="15" t="s">
        <v>849</v>
      </c>
      <c r="S248" t="s">
        <v>653</v>
      </c>
      <c r="T248" s="9">
        <v>43029</v>
      </c>
      <c r="U248" s="9">
        <v>43033</v>
      </c>
      <c r="V248" s="12">
        <v>215</v>
      </c>
      <c r="W248" s="12">
        <v>35</v>
      </c>
      <c r="X248" s="17">
        <v>0.25</v>
      </c>
      <c r="Y248">
        <v>45</v>
      </c>
      <c r="Z248" s="12">
        <v>80</v>
      </c>
      <c r="AA248" s="12">
        <v>12.77310924369748</v>
      </c>
      <c r="AB248" s="12">
        <v>100</v>
      </c>
      <c r="AF248" s="18">
        <f t="shared" si="3"/>
        <v>0</v>
      </c>
    </row>
    <row r="249" spans="1:32" customFormat="1" x14ac:dyDescent="0.25">
      <c r="A249" t="s">
        <v>12</v>
      </c>
      <c r="B249" t="s">
        <v>33</v>
      </c>
      <c r="C249" t="s">
        <v>656</v>
      </c>
      <c r="D249" s="9">
        <v>43029</v>
      </c>
      <c r="E249" s="9">
        <v>43032</v>
      </c>
      <c r="F249">
        <v>203</v>
      </c>
      <c r="G249" t="s">
        <v>657</v>
      </c>
      <c r="H249">
        <v>30</v>
      </c>
      <c r="I249" t="s">
        <v>658</v>
      </c>
      <c r="J249">
        <v>50005</v>
      </c>
      <c r="K249" t="s">
        <v>12</v>
      </c>
      <c r="L249" t="s">
        <v>33</v>
      </c>
      <c r="M249" t="s">
        <v>33</v>
      </c>
      <c r="N249" t="s">
        <v>862</v>
      </c>
      <c r="O249" s="14">
        <v>20359</v>
      </c>
      <c r="P249" t="s">
        <v>863</v>
      </c>
      <c r="Q249" s="15" t="s">
        <v>848</v>
      </c>
      <c r="R249" s="15" t="s">
        <v>849</v>
      </c>
      <c r="S249" t="s">
        <v>656</v>
      </c>
      <c r="T249" s="9">
        <v>43029</v>
      </c>
      <c r="U249" s="9">
        <v>43032</v>
      </c>
      <c r="V249" s="12">
        <v>203</v>
      </c>
      <c r="W249" s="12">
        <v>30</v>
      </c>
      <c r="X249" s="17">
        <v>0.25</v>
      </c>
      <c r="Y249">
        <v>43.25</v>
      </c>
      <c r="Z249" s="12">
        <v>73.25</v>
      </c>
      <c r="AA249" s="12">
        <v>11.695378151260504</v>
      </c>
      <c r="AB249" s="12">
        <v>99.75</v>
      </c>
      <c r="AF249" s="18">
        <f t="shared" si="3"/>
        <v>0</v>
      </c>
    </row>
    <row r="250" spans="1:32" customFormat="1" x14ac:dyDescent="0.25">
      <c r="A250" t="s">
        <v>11</v>
      </c>
      <c r="B250" t="s">
        <v>58</v>
      </c>
      <c r="C250" t="s">
        <v>659</v>
      </c>
      <c r="D250" s="9">
        <v>43029</v>
      </c>
      <c r="E250" s="9">
        <v>43031</v>
      </c>
      <c r="F250">
        <v>316</v>
      </c>
      <c r="G250">
        <v>1</v>
      </c>
      <c r="H250">
        <v>50</v>
      </c>
      <c r="I250" t="s">
        <v>660</v>
      </c>
      <c r="J250">
        <v>10043</v>
      </c>
      <c r="K250" t="s">
        <v>11</v>
      </c>
      <c r="L250" t="s">
        <v>973</v>
      </c>
      <c r="M250" t="s">
        <v>973</v>
      </c>
      <c r="N250" t="s">
        <v>974</v>
      </c>
      <c r="O250" s="14">
        <v>80469</v>
      </c>
      <c r="P250" t="s">
        <v>975</v>
      </c>
      <c r="Q250" s="15" t="s">
        <v>849</v>
      </c>
      <c r="R250" s="15" t="s">
        <v>848</v>
      </c>
      <c r="S250" t="s">
        <v>659</v>
      </c>
      <c r="T250" s="9">
        <v>43029</v>
      </c>
      <c r="U250" s="9">
        <v>43031</v>
      </c>
      <c r="V250" s="12">
        <v>316</v>
      </c>
      <c r="W250" s="12">
        <v>50</v>
      </c>
      <c r="X250" s="17">
        <v>0.2</v>
      </c>
      <c r="Y250">
        <v>53.2</v>
      </c>
      <c r="Z250" s="12">
        <v>103.2</v>
      </c>
      <c r="AA250" s="12">
        <v>16.47731092436975</v>
      </c>
      <c r="AB250" s="12">
        <v>162.80000000000001</v>
      </c>
      <c r="AF250" s="18">
        <f t="shared" si="3"/>
        <v>0</v>
      </c>
    </row>
    <row r="251" spans="1:32" customFormat="1" x14ac:dyDescent="0.25">
      <c r="A251" t="s">
        <v>38</v>
      </c>
      <c r="B251" t="s">
        <v>559</v>
      </c>
      <c r="C251" t="s">
        <v>661</v>
      </c>
      <c r="D251" s="9">
        <v>43029</v>
      </c>
      <c r="E251" s="9">
        <v>43031</v>
      </c>
      <c r="F251">
        <v>257</v>
      </c>
      <c r="H251">
        <v>50</v>
      </c>
      <c r="I251" t="s">
        <v>662</v>
      </c>
      <c r="J251">
        <v>40005</v>
      </c>
      <c r="K251" t="s">
        <v>38</v>
      </c>
      <c r="L251" t="s">
        <v>1026</v>
      </c>
      <c r="M251" t="s">
        <v>1027</v>
      </c>
      <c r="N251" t="s">
        <v>1028</v>
      </c>
      <c r="O251" s="14">
        <v>50670</v>
      </c>
      <c r="P251" t="s">
        <v>1029</v>
      </c>
      <c r="Q251" s="15" t="s">
        <v>848</v>
      </c>
      <c r="R251" s="15" t="s">
        <v>849</v>
      </c>
      <c r="S251" t="s">
        <v>661</v>
      </c>
      <c r="T251" s="9">
        <v>43029</v>
      </c>
      <c r="U251" s="9">
        <v>43031</v>
      </c>
      <c r="V251" s="12">
        <v>257</v>
      </c>
      <c r="W251" s="12">
        <v>50</v>
      </c>
      <c r="X251" s="17">
        <v>0.2</v>
      </c>
      <c r="Y251">
        <v>41.400000000000006</v>
      </c>
      <c r="Z251" s="12">
        <v>91.4</v>
      </c>
      <c r="AA251" s="12">
        <v>14.593277310924371</v>
      </c>
      <c r="AB251" s="12">
        <v>115.6</v>
      </c>
      <c r="AF251" s="18">
        <f t="shared" si="3"/>
        <v>0</v>
      </c>
    </row>
    <row r="252" spans="1:32" customFormat="1" x14ac:dyDescent="0.25">
      <c r="A252" t="s">
        <v>11</v>
      </c>
      <c r="B252" t="s">
        <v>263</v>
      </c>
      <c r="C252" t="s">
        <v>663</v>
      </c>
      <c r="D252" s="9">
        <v>43029</v>
      </c>
      <c r="E252" s="9">
        <v>43033</v>
      </c>
      <c r="F252">
        <v>395</v>
      </c>
      <c r="G252">
        <v>1</v>
      </c>
      <c r="H252">
        <v>40</v>
      </c>
      <c r="I252" t="s">
        <v>664</v>
      </c>
      <c r="J252">
        <v>10104</v>
      </c>
      <c r="K252" t="s">
        <v>11</v>
      </c>
      <c r="L252" t="s">
        <v>263</v>
      </c>
      <c r="M252" t="s">
        <v>263</v>
      </c>
      <c r="N252" t="s">
        <v>978</v>
      </c>
      <c r="O252" s="14">
        <v>81539</v>
      </c>
      <c r="P252" t="s">
        <v>979</v>
      </c>
      <c r="Q252" s="15" t="s">
        <v>848</v>
      </c>
      <c r="R252" s="15" t="s">
        <v>849</v>
      </c>
      <c r="S252" t="s">
        <v>663</v>
      </c>
      <c r="T252" s="9">
        <v>43029</v>
      </c>
      <c r="U252" s="9">
        <v>43033</v>
      </c>
      <c r="V252" s="12">
        <v>395</v>
      </c>
      <c r="W252" s="12">
        <v>40</v>
      </c>
      <c r="X252" s="17">
        <v>0.25</v>
      </c>
      <c r="Y252">
        <v>88.75</v>
      </c>
      <c r="Z252" s="12">
        <v>128.75</v>
      </c>
      <c r="AA252" s="12">
        <v>20.556722689075627</v>
      </c>
      <c r="AB252" s="12">
        <v>226.25</v>
      </c>
      <c r="AF252" s="18">
        <f t="shared" si="3"/>
        <v>0</v>
      </c>
    </row>
    <row r="253" spans="1:32" customFormat="1" x14ac:dyDescent="0.25">
      <c r="A253" t="s">
        <v>9</v>
      </c>
      <c r="B253" t="s">
        <v>14</v>
      </c>
      <c r="C253" t="s">
        <v>665</v>
      </c>
      <c r="D253" s="9">
        <v>43030</v>
      </c>
      <c r="E253" s="9">
        <v>43034</v>
      </c>
      <c r="F253">
        <v>301</v>
      </c>
      <c r="H253">
        <v>35</v>
      </c>
      <c r="I253" t="s">
        <v>666</v>
      </c>
      <c r="J253">
        <v>20026</v>
      </c>
      <c r="K253" t="s">
        <v>9</v>
      </c>
      <c r="L253" t="s">
        <v>985</v>
      </c>
      <c r="M253" t="s">
        <v>986</v>
      </c>
      <c r="N253" t="s">
        <v>987</v>
      </c>
      <c r="O253" s="14">
        <v>61440</v>
      </c>
      <c r="P253" t="s">
        <v>988</v>
      </c>
      <c r="Q253" s="15" t="s">
        <v>848</v>
      </c>
      <c r="R253" s="15" t="s">
        <v>849</v>
      </c>
      <c r="S253" t="s">
        <v>665</v>
      </c>
      <c r="T253" s="9">
        <v>43030</v>
      </c>
      <c r="U253" s="9">
        <v>43034</v>
      </c>
      <c r="V253" s="12">
        <v>301</v>
      </c>
      <c r="W253" s="12">
        <v>35</v>
      </c>
      <c r="X253" s="17">
        <v>0.25</v>
      </c>
      <c r="Y253">
        <v>66.5</v>
      </c>
      <c r="Z253" s="12">
        <v>101.5</v>
      </c>
      <c r="AA253" s="12">
        <v>16.205882352941178</v>
      </c>
      <c r="AB253" s="12">
        <v>164.5</v>
      </c>
      <c r="AF253" s="18">
        <f t="shared" si="3"/>
        <v>0</v>
      </c>
    </row>
    <row r="254" spans="1:32" customFormat="1" x14ac:dyDescent="0.25">
      <c r="A254" t="s">
        <v>15</v>
      </c>
      <c r="B254" t="s">
        <v>25</v>
      </c>
      <c r="C254" t="s">
        <v>667</v>
      </c>
      <c r="D254" s="9">
        <v>43030</v>
      </c>
      <c r="E254" s="9">
        <v>43035</v>
      </c>
      <c r="F254">
        <v>503</v>
      </c>
      <c r="H254">
        <v>45</v>
      </c>
      <c r="I254" t="s">
        <v>668</v>
      </c>
      <c r="J254">
        <v>30023</v>
      </c>
      <c r="K254" t="s">
        <v>15</v>
      </c>
      <c r="L254" t="s">
        <v>892</v>
      </c>
      <c r="M254" t="s">
        <v>892</v>
      </c>
      <c r="N254" t="s">
        <v>893</v>
      </c>
      <c r="O254" s="14">
        <v>40225</v>
      </c>
      <c r="P254" t="s">
        <v>894</v>
      </c>
      <c r="Q254" s="15" t="s">
        <v>848</v>
      </c>
      <c r="R254" s="15" t="s">
        <v>849</v>
      </c>
      <c r="S254" t="s">
        <v>667</v>
      </c>
      <c r="T254" s="9">
        <v>43030</v>
      </c>
      <c r="U254" s="9">
        <v>43035</v>
      </c>
      <c r="V254" s="12">
        <v>503</v>
      </c>
      <c r="W254" s="12">
        <v>45</v>
      </c>
      <c r="X254" s="17">
        <v>0.2</v>
      </c>
      <c r="Y254">
        <v>91.600000000000009</v>
      </c>
      <c r="Z254" s="12">
        <v>136.60000000000002</v>
      </c>
      <c r="AA254" s="12">
        <v>21.81008403361345</v>
      </c>
      <c r="AB254" s="12">
        <v>321.39999999999998</v>
      </c>
      <c r="AF254" s="18">
        <f t="shared" si="3"/>
        <v>0</v>
      </c>
    </row>
    <row r="255" spans="1:32" customFormat="1" x14ac:dyDescent="0.25">
      <c r="A255" t="s">
        <v>9</v>
      </c>
      <c r="B255" t="s">
        <v>10</v>
      </c>
      <c r="C255" t="s">
        <v>669</v>
      </c>
      <c r="D255" s="9">
        <v>43030</v>
      </c>
      <c r="E255" s="9">
        <v>43032</v>
      </c>
      <c r="F255">
        <v>198</v>
      </c>
      <c r="H255">
        <v>35</v>
      </c>
      <c r="I255" t="s">
        <v>670</v>
      </c>
      <c r="J255">
        <v>20024</v>
      </c>
      <c r="K255" t="s">
        <v>9</v>
      </c>
      <c r="L255" t="s">
        <v>10</v>
      </c>
      <c r="M255" t="s">
        <v>10</v>
      </c>
      <c r="N255" t="s">
        <v>886</v>
      </c>
      <c r="O255" s="14">
        <v>60316</v>
      </c>
      <c r="P255" t="s">
        <v>887</v>
      </c>
      <c r="Q255" s="15" t="s">
        <v>849</v>
      </c>
      <c r="R255" s="15" t="s">
        <v>848</v>
      </c>
      <c r="S255" t="s">
        <v>669</v>
      </c>
      <c r="T255" s="9">
        <v>43030</v>
      </c>
      <c r="U255" s="9">
        <v>43032</v>
      </c>
      <c r="V255" s="12">
        <v>198</v>
      </c>
      <c r="W255" s="12">
        <v>35</v>
      </c>
      <c r="X255" s="17">
        <v>0.25</v>
      </c>
      <c r="Y255">
        <v>40.75</v>
      </c>
      <c r="Z255" s="12">
        <v>75.75</v>
      </c>
      <c r="AA255" s="12">
        <v>12.094537815126049</v>
      </c>
      <c r="AB255" s="12">
        <v>87.25</v>
      </c>
      <c r="AF255" s="18">
        <f t="shared" si="3"/>
        <v>0</v>
      </c>
    </row>
    <row r="256" spans="1:32" customFormat="1" x14ac:dyDescent="0.25">
      <c r="A256" t="s">
        <v>11</v>
      </c>
      <c r="B256" t="s">
        <v>56</v>
      </c>
      <c r="C256" t="s">
        <v>671</v>
      </c>
      <c r="D256" s="9">
        <v>43030</v>
      </c>
      <c r="E256" s="9">
        <v>43035</v>
      </c>
      <c r="F256">
        <v>489</v>
      </c>
      <c r="H256">
        <v>35</v>
      </c>
      <c r="I256" t="s">
        <v>672</v>
      </c>
      <c r="J256">
        <v>10076</v>
      </c>
      <c r="K256" t="s">
        <v>11</v>
      </c>
      <c r="L256" t="s">
        <v>56</v>
      </c>
      <c r="M256" t="s">
        <v>56</v>
      </c>
      <c r="N256" t="s">
        <v>1085</v>
      </c>
      <c r="O256" s="14" t="s">
        <v>1086</v>
      </c>
      <c r="P256" t="s">
        <v>1087</v>
      </c>
      <c r="Q256" s="15" t="s">
        <v>848</v>
      </c>
      <c r="R256" s="15" t="s">
        <v>849</v>
      </c>
      <c r="S256" t="s">
        <v>671</v>
      </c>
      <c r="T256" s="9">
        <v>43030</v>
      </c>
      <c r="U256" s="9">
        <v>43035</v>
      </c>
      <c r="V256" s="12">
        <v>489</v>
      </c>
      <c r="W256" s="12">
        <v>35</v>
      </c>
      <c r="X256" s="17">
        <v>0.25</v>
      </c>
      <c r="Y256">
        <v>113.5</v>
      </c>
      <c r="Z256" s="12">
        <v>148.5</v>
      </c>
      <c r="AA256" s="12">
        <v>23.710084033613445</v>
      </c>
      <c r="AB256" s="12">
        <v>305.5</v>
      </c>
      <c r="AF256" s="18">
        <f t="shared" si="3"/>
        <v>0</v>
      </c>
    </row>
    <row r="257" spans="1:32" customFormat="1" x14ac:dyDescent="0.25">
      <c r="A257" t="s">
        <v>11</v>
      </c>
      <c r="B257" t="s">
        <v>40</v>
      </c>
      <c r="C257" t="s">
        <v>673</v>
      </c>
      <c r="D257" s="9">
        <v>43030</v>
      </c>
      <c r="E257" s="9">
        <v>43034</v>
      </c>
      <c r="F257">
        <v>392</v>
      </c>
      <c r="H257">
        <v>35</v>
      </c>
      <c r="I257" t="s">
        <v>674</v>
      </c>
      <c r="J257">
        <v>10018</v>
      </c>
      <c r="K257" t="s">
        <v>11</v>
      </c>
      <c r="L257" t="s">
        <v>944</v>
      </c>
      <c r="M257" t="s">
        <v>944</v>
      </c>
      <c r="N257" t="s">
        <v>945</v>
      </c>
      <c r="O257" s="14">
        <v>80803</v>
      </c>
      <c r="P257" t="s">
        <v>946</v>
      </c>
      <c r="Q257" s="15" t="s">
        <v>849</v>
      </c>
      <c r="R257" s="15" t="s">
        <v>848</v>
      </c>
      <c r="S257" t="s">
        <v>673</v>
      </c>
      <c r="T257" s="9">
        <v>43030</v>
      </c>
      <c r="U257" s="9">
        <v>43034</v>
      </c>
      <c r="V257" s="12">
        <v>392</v>
      </c>
      <c r="W257" s="12">
        <v>35</v>
      </c>
      <c r="X257" s="17">
        <v>0.25</v>
      </c>
      <c r="Y257">
        <v>89.25</v>
      </c>
      <c r="Z257" s="12">
        <v>124.25</v>
      </c>
      <c r="AA257" s="12">
        <v>19.838235294117649</v>
      </c>
      <c r="AB257" s="12">
        <v>232.75</v>
      </c>
      <c r="AF257" s="18">
        <f t="shared" si="3"/>
        <v>0</v>
      </c>
    </row>
    <row r="258" spans="1:32" customFormat="1" x14ac:dyDescent="0.25">
      <c r="A258" t="s">
        <v>11</v>
      </c>
      <c r="B258" t="s">
        <v>66</v>
      </c>
      <c r="C258" t="s">
        <v>675</v>
      </c>
      <c r="D258" s="9">
        <v>43030</v>
      </c>
      <c r="E258" s="9">
        <v>43033</v>
      </c>
      <c r="F258">
        <v>283</v>
      </c>
      <c r="H258">
        <v>50</v>
      </c>
      <c r="I258" t="s">
        <v>676</v>
      </c>
      <c r="J258">
        <v>10094</v>
      </c>
      <c r="K258" t="s">
        <v>11</v>
      </c>
      <c r="L258" t="s">
        <v>66</v>
      </c>
      <c r="M258" t="s">
        <v>66</v>
      </c>
      <c r="N258" t="s">
        <v>890</v>
      </c>
      <c r="O258" s="14">
        <v>80804</v>
      </c>
      <c r="P258" t="s">
        <v>891</v>
      </c>
      <c r="Q258" s="15" t="s">
        <v>848</v>
      </c>
      <c r="R258" s="15" t="s">
        <v>849</v>
      </c>
      <c r="S258" t="s">
        <v>675</v>
      </c>
      <c r="T258" s="9">
        <v>43030</v>
      </c>
      <c r="U258" s="9">
        <v>43033</v>
      </c>
      <c r="V258" s="12">
        <v>283</v>
      </c>
      <c r="W258" s="12">
        <v>50</v>
      </c>
      <c r="X258" s="17">
        <v>0.25</v>
      </c>
      <c r="Y258">
        <v>58.25</v>
      </c>
      <c r="Z258" s="12">
        <v>108.25</v>
      </c>
      <c r="AA258" s="12">
        <v>17.283613445378151</v>
      </c>
      <c r="AB258" s="12">
        <v>124.75</v>
      </c>
      <c r="AF258" s="18">
        <f t="shared" si="3"/>
        <v>0</v>
      </c>
    </row>
    <row r="259" spans="1:32" customFormat="1" x14ac:dyDescent="0.25">
      <c r="A259" t="s">
        <v>677</v>
      </c>
      <c r="B259" t="s">
        <v>678</v>
      </c>
      <c r="C259" t="s">
        <v>679</v>
      </c>
      <c r="D259" s="9">
        <v>43030</v>
      </c>
      <c r="E259" s="9">
        <v>43032</v>
      </c>
      <c r="F259">
        <v>111</v>
      </c>
      <c r="G259" t="s">
        <v>680</v>
      </c>
      <c r="H259">
        <v>35</v>
      </c>
      <c r="I259" t="s">
        <v>681</v>
      </c>
      <c r="J259">
        <v>20036</v>
      </c>
      <c r="K259" t="s">
        <v>677</v>
      </c>
      <c r="L259" t="s">
        <v>678</v>
      </c>
      <c r="M259" t="s">
        <v>1105</v>
      </c>
      <c r="N259" t="s">
        <v>1106</v>
      </c>
      <c r="O259" s="14">
        <v>63454</v>
      </c>
      <c r="P259" t="s">
        <v>1107</v>
      </c>
      <c r="Q259" s="15" t="s">
        <v>848</v>
      </c>
      <c r="R259" s="15" t="s">
        <v>849</v>
      </c>
      <c r="S259" t="s">
        <v>679</v>
      </c>
      <c r="T259" s="9">
        <v>43030</v>
      </c>
      <c r="U259" s="9">
        <v>43032</v>
      </c>
      <c r="V259" s="12">
        <v>111</v>
      </c>
      <c r="W259" s="12">
        <v>35</v>
      </c>
      <c r="X259" s="17">
        <v>0.25</v>
      </c>
      <c r="Y259">
        <v>19</v>
      </c>
      <c r="Z259" s="12">
        <v>54</v>
      </c>
      <c r="AA259" s="12">
        <v>8.6218487394957979</v>
      </c>
      <c r="AB259" s="12">
        <v>22</v>
      </c>
      <c r="AF259" s="18">
        <f t="shared" ref="AF259:AF322" si="4">AE259/119*19</f>
        <v>0</v>
      </c>
    </row>
    <row r="260" spans="1:32" customFormat="1" x14ac:dyDescent="0.25">
      <c r="A260" t="s">
        <v>9</v>
      </c>
      <c r="B260" t="s">
        <v>67</v>
      </c>
      <c r="C260" t="s">
        <v>682</v>
      </c>
      <c r="D260" s="9">
        <v>43031</v>
      </c>
      <c r="E260" s="9">
        <v>43035</v>
      </c>
      <c r="F260">
        <v>565</v>
      </c>
      <c r="G260">
        <v>1</v>
      </c>
      <c r="H260">
        <v>50</v>
      </c>
      <c r="I260" t="s">
        <v>683</v>
      </c>
      <c r="J260">
        <v>20032</v>
      </c>
      <c r="K260" t="s">
        <v>9</v>
      </c>
      <c r="L260" t="s">
        <v>1067</v>
      </c>
      <c r="M260" t="s">
        <v>1067</v>
      </c>
      <c r="N260" t="s">
        <v>1068</v>
      </c>
      <c r="O260" s="14">
        <v>60325</v>
      </c>
      <c r="P260" t="s">
        <v>1069</v>
      </c>
      <c r="Q260" s="15" t="s">
        <v>849</v>
      </c>
      <c r="R260" s="15" t="s">
        <v>848</v>
      </c>
      <c r="S260" t="s">
        <v>682</v>
      </c>
      <c r="T260" s="9">
        <v>43031</v>
      </c>
      <c r="U260" s="9">
        <v>43035</v>
      </c>
      <c r="V260" s="12">
        <v>565</v>
      </c>
      <c r="W260" s="12">
        <v>50</v>
      </c>
      <c r="X260" s="17">
        <v>0.23</v>
      </c>
      <c r="Y260">
        <v>118.45</v>
      </c>
      <c r="Z260" s="12">
        <v>168.45</v>
      </c>
      <c r="AA260" s="12">
        <v>26.895378151260502</v>
      </c>
      <c r="AB260" s="12">
        <v>346.55</v>
      </c>
      <c r="AF260" s="18">
        <f t="shared" si="4"/>
        <v>0</v>
      </c>
    </row>
    <row r="261" spans="1:32" customFormat="1" x14ac:dyDescent="0.25">
      <c r="A261" t="s">
        <v>11</v>
      </c>
      <c r="B261" t="s">
        <v>24</v>
      </c>
      <c r="C261" t="s">
        <v>684</v>
      </c>
      <c r="D261" s="9">
        <v>43031</v>
      </c>
      <c r="E261" s="9">
        <v>43035</v>
      </c>
      <c r="F261">
        <v>388</v>
      </c>
      <c r="H261">
        <v>35</v>
      </c>
      <c r="I261" t="s">
        <v>685</v>
      </c>
      <c r="J261">
        <v>10081</v>
      </c>
      <c r="K261" t="s">
        <v>11</v>
      </c>
      <c r="L261" t="s">
        <v>24</v>
      </c>
      <c r="M261" t="s">
        <v>24</v>
      </c>
      <c r="N261" t="s">
        <v>877</v>
      </c>
      <c r="O261" s="14">
        <v>80331</v>
      </c>
      <c r="P261" t="s">
        <v>878</v>
      </c>
      <c r="Q261" s="15" t="s">
        <v>849</v>
      </c>
      <c r="R261" s="15" t="s">
        <v>848</v>
      </c>
      <c r="S261" t="s">
        <v>684</v>
      </c>
      <c r="T261" s="9">
        <v>43031</v>
      </c>
      <c r="U261" s="9">
        <v>43035</v>
      </c>
      <c r="V261" s="12">
        <v>388</v>
      </c>
      <c r="W261" s="12">
        <v>35</v>
      </c>
      <c r="X261" s="17">
        <v>0.25</v>
      </c>
      <c r="Y261">
        <v>88.25</v>
      </c>
      <c r="Z261" s="12">
        <v>123.25</v>
      </c>
      <c r="AA261" s="12">
        <v>19.678571428571431</v>
      </c>
      <c r="AB261" s="12">
        <v>229.75</v>
      </c>
      <c r="AF261" s="18">
        <f t="shared" si="4"/>
        <v>0</v>
      </c>
    </row>
    <row r="262" spans="1:32" customFormat="1" x14ac:dyDescent="0.25">
      <c r="A262" t="s">
        <v>9</v>
      </c>
      <c r="B262" t="s">
        <v>409</v>
      </c>
      <c r="C262" t="s">
        <v>686</v>
      </c>
      <c r="D262" s="9">
        <v>43031</v>
      </c>
      <c r="E262" s="9">
        <v>43033</v>
      </c>
      <c r="F262">
        <v>182</v>
      </c>
      <c r="G262" t="s">
        <v>687</v>
      </c>
      <c r="H262">
        <v>50</v>
      </c>
      <c r="I262" t="s">
        <v>688</v>
      </c>
      <c r="J262">
        <v>20037</v>
      </c>
      <c r="K262" t="s">
        <v>9</v>
      </c>
      <c r="L262" t="s">
        <v>409</v>
      </c>
      <c r="M262" t="s">
        <v>409</v>
      </c>
      <c r="N262" t="s">
        <v>1050</v>
      </c>
      <c r="O262" s="14">
        <v>13353</v>
      </c>
      <c r="P262" t="s">
        <v>1051</v>
      </c>
      <c r="Q262" s="15" t="s">
        <v>848</v>
      </c>
      <c r="R262" s="15" t="s">
        <v>849</v>
      </c>
      <c r="S262" t="s">
        <v>686</v>
      </c>
      <c r="T262" s="9">
        <v>43031</v>
      </c>
      <c r="U262" s="9">
        <v>43033</v>
      </c>
      <c r="V262" s="12">
        <v>182</v>
      </c>
      <c r="W262" s="12">
        <v>50</v>
      </c>
      <c r="X262" s="17">
        <v>0.25</v>
      </c>
      <c r="Y262">
        <v>33</v>
      </c>
      <c r="Z262" s="12">
        <v>83</v>
      </c>
      <c r="AA262" s="12">
        <v>13.252100840336134</v>
      </c>
      <c r="AB262" s="12">
        <v>49</v>
      </c>
      <c r="AF262" s="18">
        <f t="shared" si="4"/>
        <v>0</v>
      </c>
    </row>
    <row r="263" spans="1:32" customFormat="1" x14ac:dyDescent="0.25">
      <c r="A263" t="s">
        <v>15</v>
      </c>
      <c r="B263" t="s">
        <v>37</v>
      </c>
      <c r="C263" t="s">
        <v>689</v>
      </c>
      <c r="D263" s="9">
        <v>43031</v>
      </c>
      <c r="E263" s="9">
        <v>43039</v>
      </c>
      <c r="G263" t="s">
        <v>690</v>
      </c>
      <c r="H263">
        <v>60</v>
      </c>
      <c r="I263" t="s">
        <v>691</v>
      </c>
      <c r="J263">
        <v>30012</v>
      </c>
      <c r="K263" t="s">
        <v>15</v>
      </c>
      <c r="L263" t="s">
        <v>967</v>
      </c>
      <c r="M263" t="s">
        <v>967</v>
      </c>
      <c r="N263" t="s">
        <v>968</v>
      </c>
      <c r="O263" s="14">
        <v>40477</v>
      </c>
      <c r="P263" t="s">
        <v>969</v>
      </c>
      <c r="Q263" s="15" t="s">
        <v>848</v>
      </c>
      <c r="R263" s="15" t="s">
        <v>849</v>
      </c>
      <c r="S263" t="s">
        <v>689</v>
      </c>
      <c r="T263" s="9">
        <v>43031</v>
      </c>
      <c r="U263" s="9">
        <v>43039</v>
      </c>
      <c r="V263" s="12">
        <v>0</v>
      </c>
      <c r="W263" s="12">
        <v>60</v>
      </c>
      <c r="X263" s="17">
        <v>0.22</v>
      </c>
      <c r="Y263">
        <v>-13.2</v>
      </c>
      <c r="Z263" s="12">
        <v>46.8</v>
      </c>
      <c r="AA263" s="12">
        <v>7.4722689075630253</v>
      </c>
      <c r="AB263" s="12">
        <v>-106.8</v>
      </c>
      <c r="AF263" s="18">
        <f t="shared" si="4"/>
        <v>0</v>
      </c>
    </row>
    <row r="264" spans="1:32" customFormat="1" x14ac:dyDescent="0.25">
      <c r="A264" t="s">
        <v>9</v>
      </c>
      <c r="B264" t="s">
        <v>68</v>
      </c>
      <c r="C264" t="s">
        <v>692</v>
      </c>
      <c r="D264" s="9">
        <v>43031</v>
      </c>
      <c r="E264" s="9">
        <v>43033</v>
      </c>
      <c r="F264">
        <v>158</v>
      </c>
      <c r="G264">
        <v>1</v>
      </c>
      <c r="H264">
        <v>30</v>
      </c>
      <c r="I264" t="s">
        <v>693</v>
      </c>
      <c r="J264">
        <v>20025</v>
      </c>
      <c r="K264" t="s">
        <v>9</v>
      </c>
      <c r="L264" t="s">
        <v>1077</v>
      </c>
      <c r="M264" t="s">
        <v>1077</v>
      </c>
      <c r="N264" t="s">
        <v>1078</v>
      </c>
      <c r="O264" s="14">
        <v>60322</v>
      </c>
      <c r="P264" t="s">
        <v>1079</v>
      </c>
      <c r="Q264" s="15" t="s">
        <v>848</v>
      </c>
      <c r="R264" s="15" t="s">
        <v>849</v>
      </c>
      <c r="S264" t="s">
        <v>692</v>
      </c>
      <c r="T264" s="9">
        <v>43031</v>
      </c>
      <c r="U264" s="9">
        <v>43033</v>
      </c>
      <c r="V264" s="12">
        <v>158</v>
      </c>
      <c r="W264" s="12">
        <v>30</v>
      </c>
      <c r="X264" s="17">
        <v>0.25</v>
      </c>
      <c r="Y264">
        <v>32</v>
      </c>
      <c r="Z264" s="12">
        <v>62</v>
      </c>
      <c r="AA264" s="12">
        <v>9.8991596638655466</v>
      </c>
      <c r="AB264" s="12">
        <v>66</v>
      </c>
      <c r="AF264" s="18">
        <f t="shared" si="4"/>
        <v>0</v>
      </c>
    </row>
    <row r="265" spans="1:32" customFormat="1" x14ac:dyDescent="0.25">
      <c r="A265" t="s">
        <v>12</v>
      </c>
      <c r="B265" t="s">
        <v>538</v>
      </c>
      <c r="C265" t="s">
        <v>694</v>
      </c>
      <c r="D265" s="9">
        <v>43031</v>
      </c>
      <c r="E265" s="9">
        <v>43037</v>
      </c>
      <c r="F265">
        <v>472</v>
      </c>
      <c r="G265">
        <v>4</v>
      </c>
      <c r="H265">
        <v>50</v>
      </c>
      <c r="I265" t="s">
        <v>695</v>
      </c>
      <c r="J265">
        <v>50041</v>
      </c>
      <c r="K265" t="s">
        <v>12</v>
      </c>
      <c r="L265" t="s">
        <v>538</v>
      </c>
      <c r="M265" t="s">
        <v>538</v>
      </c>
      <c r="N265" t="s">
        <v>1091</v>
      </c>
      <c r="O265" s="14">
        <v>22769</v>
      </c>
      <c r="P265" t="s">
        <v>1092</v>
      </c>
      <c r="Q265" s="15" t="s">
        <v>848</v>
      </c>
      <c r="R265" s="15" t="s">
        <v>849</v>
      </c>
      <c r="S265" t="s">
        <v>694</v>
      </c>
      <c r="T265" s="9">
        <v>43031</v>
      </c>
      <c r="U265" s="9">
        <v>43037</v>
      </c>
      <c r="V265" s="12">
        <v>472</v>
      </c>
      <c r="W265" s="12">
        <v>50</v>
      </c>
      <c r="X265" s="17">
        <v>0.25</v>
      </c>
      <c r="Y265">
        <v>105.5</v>
      </c>
      <c r="Z265" s="12">
        <v>155.5</v>
      </c>
      <c r="AA265" s="12">
        <v>24.827731092436974</v>
      </c>
      <c r="AB265" s="12">
        <v>266.5</v>
      </c>
      <c r="AF265" s="18">
        <f t="shared" si="4"/>
        <v>0</v>
      </c>
    </row>
    <row r="266" spans="1:32" customFormat="1" x14ac:dyDescent="0.25">
      <c r="A266" t="s">
        <v>11</v>
      </c>
      <c r="B266" t="s">
        <v>161</v>
      </c>
      <c r="C266" t="s">
        <v>696</v>
      </c>
      <c r="D266" s="9">
        <v>43031</v>
      </c>
      <c r="E266" s="9">
        <v>43035</v>
      </c>
      <c r="F266">
        <v>283</v>
      </c>
      <c r="H266">
        <v>35</v>
      </c>
      <c r="I266" t="s">
        <v>697</v>
      </c>
      <c r="J266">
        <v>10075</v>
      </c>
      <c r="K266" t="s">
        <v>11</v>
      </c>
      <c r="L266" t="s">
        <v>161</v>
      </c>
      <c r="M266" t="s">
        <v>161</v>
      </c>
      <c r="N266" t="s">
        <v>909</v>
      </c>
      <c r="O266" s="14" t="s">
        <v>910</v>
      </c>
      <c r="P266" t="s">
        <v>911</v>
      </c>
      <c r="Q266" s="15" t="s">
        <v>848</v>
      </c>
      <c r="R266" s="15" t="s">
        <v>849</v>
      </c>
      <c r="S266" t="s">
        <v>696</v>
      </c>
      <c r="T266" s="9">
        <v>43031</v>
      </c>
      <c r="U266" s="9">
        <v>43035</v>
      </c>
      <c r="V266" s="12">
        <v>283</v>
      </c>
      <c r="W266" s="12">
        <v>35</v>
      </c>
      <c r="X266" s="17">
        <v>0.25</v>
      </c>
      <c r="Y266">
        <v>62</v>
      </c>
      <c r="Z266" s="12">
        <v>97</v>
      </c>
      <c r="AA266" s="12">
        <v>15.487394957983193</v>
      </c>
      <c r="AB266" s="12">
        <v>151</v>
      </c>
      <c r="AF266" s="18">
        <f t="shared" si="4"/>
        <v>0</v>
      </c>
    </row>
    <row r="267" spans="1:32" customFormat="1" x14ac:dyDescent="0.25">
      <c r="A267" t="s">
        <v>15</v>
      </c>
      <c r="B267" t="s">
        <v>19</v>
      </c>
      <c r="C267" t="s">
        <v>20</v>
      </c>
      <c r="D267" s="9">
        <v>43031</v>
      </c>
      <c r="E267" s="9">
        <v>43035</v>
      </c>
      <c r="F267">
        <v>419</v>
      </c>
      <c r="G267">
        <v>1</v>
      </c>
      <c r="H267">
        <v>35</v>
      </c>
      <c r="I267" t="s">
        <v>698</v>
      </c>
      <c r="J267">
        <v>30019</v>
      </c>
      <c r="K267" t="s">
        <v>15</v>
      </c>
      <c r="L267" t="s">
        <v>927</v>
      </c>
      <c r="M267" t="s">
        <v>927</v>
      </c>
      <c r="N267" t="s">
        <v>928</v>
      </c>
      <c r="O267" s="14">
        <v>40476</v>
      </c>
      <c r="P267" t="s">
        <v>929</v>
      </c>
      <c r="Q267" s="15" t="s">
        <v>848</v>
      </c>
      <c r="R267" s="15" t="s">
        <v>849</v>
      </c>
      <c r="S267" t="s">
        <v>20</v>
      </c>
      <c r="T267" s="9">
        <v>43031</v>
      </c>
      <c r="U267" s="9">
        <v>43035</v>
      </c>
      <c r="V267" s="12">
        <v>419</v>
      </c>
      <c r="W267" s="12">
        <v>35</v>
      </c>
      <c r="X267" s="17">
        <v>0.25</v>
      </c>
      <c r="Y267">
        <v>96</v>
      </c>
      <c r="Z267" s="12">
        <v>131</v>
      </c>
      <c r="AA267" s="12">
        <v>20.915966386554622</v>
      </c>
      <c r="AB267" s="12">
        <v>253</v>
      </c>
      <c r="AF267" s="18">
        <f t="shared" si="4"/>
        <v>0</v>
      </c>
    </row>
    <row r="268" spans="1:32" customFormat="1" x14ac:dyDescent="0.25">
      <c r="A268" t="s">
        <v>11</v>
      </c>
      <c r="B268" t="s">
        <v>113</v>
      </c>
      <c r="C268" t="s">
        <v>699</v>
      </c>
      <c r="D268" s="9">
        <v>43031</v>
      </c>
      <c r="E268" s="9">
        <v>43033</v>
      </c>
      <c r="F268">
        <v>237</v>
      </c>
      <c r="G268">
        <v>1</v>
      </c>
      <c r="H268">
        <v>65</v>
      </c>
      <c r="I268" t="s">
        <v>700</v>
      </c>
      <c r="J268">
        <v>10101</v>
      </c>
      <c r="K268" t="s">
        <v>11</v>
      </c>
      <c r="L268" t="s">
        <v>856</v>
      </c>
      <c r="M268" t="s">
        <v>856</v>
      </c>
      <c r="N268" t="s">
        <v>857</v>
      </c>
      <c r="O268" s="14" t="s">
        <v>858</v>
      </c>
      <c r="P268" t="s">
        <v>859</v>
      </c>
      <c r="Q268" s="15" t="s">
        <v>848</v>
      </c>
      <c r="R268" s="15" t="s">
        <v>849</v>
      </c>
      <c r="S268" t="s">
        <v>699</v>
      </c>
      <c r="T268" s="9">
        <v>43031</v>
      </c>
      <c r="U268" s="9">
        <v>43033</v>
      </c>
      <c r="V268" s="12">
        <v>237</v>
      </c>
      <c r="W268" s="12">
        <v>65</v>
      </c>
      <c r="X268" s="17">
        <v>0.25</v>
      </c>
      <c r="Y268">
        <v>43</v>
      </c>
      <c r="Z268" s="12">
        <v>108</v>
      </c>
      <c r="AA268" s="12">
        <v>17.243697478991596</v>
      </c>
      <c r="AB268" s="12">
        <v>64</v>
      </c>
      <c r="AF268" s="18">
        <f t="shared" si="4"/>
        <v>0</v>
      </c>
    </row>
    <row r="269" spans="1:32" customFormat="1" x14ac:dyDescent="0.25">
      <c r="A269" t="s">
        <v>11</v>
      </c>
      <c r="B269" t="s">
        <v>424</v>
      </c>
      <c r="C269" t="s">
        <v>701</v>
      </c>
      <c r="D269" s="9">
        <v>43031</v>
      </c>
      <c r="E269" s="9">
        <v>43034</v>
      </c>
      <c r="F269">
        <v>243</v>
      </c>
      <c r="H269">
        <v>35</v>
      </c>
      <c r="I269" t="s">
        <v>702</v>
      </c>
      <c r="J269">
        <v>10107</v>
      </c>
      <c r="K269" t="s">
        <v>11</v>
      </c>
      <c r="L269" t="s">
        <v>424</v>
      </c>
      <c r="M269" t="s">
        <v>424</v>
      </c>
      <c r="N269" t="s">
        <v>1056</v>
      </c>
      <c r="O269" s="14">
        <v>81677</v>
      </c>
      <c r="P269" t="s">
        <v>1057</v>
      </c>
      <c r="Q269" s="15" t="s">
        <v>848</v>
      </c>
      <c r="R269" s="15" t="s">
        <v>849</v>
      </c>
      <c r="S269" t="s">
        <v>701</v>
      </c>
      <c r="T269" s="9">
        <v>43031</v>
      </c>
      <c r="U269" s="9">
        <v>43034</v>
      </c>
      <c r="V269" s="12">
        <v>243</v>
      </c>
      <c r="W269" s="12">
        <v>35</v>
      </c>
      <c r="X269" s="17">
        <v>0.25</v>
      </c>
      <c r="Y269">
        <v>52</v>
      </c>
      <c r="Z269" s="12">
        <v>87</v>
      </c>
      <c r="AA269" s="12">
        <v>13.890756302521007</v>
      </c>
      <c r="AB269" s="12">
        <v>121</v>
      </c>
      <c r="AF269" s="18">
        <f t="shared" si="4"/>
        <v>0</v>
      </c>
    </row>
    <row r="270" spans="1:32" customFormat="1" x14ac:dyDescent="0.25">
      <c r="A270" t="s">
        <v>9</v>
      </c>
      <c r="B270" t="s">
        <v>464</v>
      </c>
      <c r="C270" t="s">
        <v>703</v>
      </c>
      <c r="D270" s="9">
        <v>43032</v>
      </c>
      <c r="E270" s="9">
        <v>43034</v>
      </c>
      <c r="F270">
        <v>254</v>
      </c>
      <c r="H270">
        <v>45</v>
      </c>
      <c r="I270" t="s">
        <v>704</v>
      </c>
      <c r="J270">
        <v>20031</v>
      </c>
      <c r="K270" t="s">
        <v>9</v>
      </c>
      <c r="L270" t="s">
        <v>1080</v>
      </c>
      <c r="M270" t="s">
        <v>1080</v>
      </c>
      <c r="N270" t="s">
        <v>1081</v>
      </c>
      <c r="O270" s="14">
        <v>60326</v>
      </c>
      <c r="P270" t="s">
        <v>1082</v>
      </c>
      <c r="Q270" s="15" t="s">
        <v>848</v>
      </c>
      <c r="R270" s="15" t="s">
        <v>849</v>
      </c>
      <c r="S270" t="s">
        <v>703</v>
      </c>
      <c r="T270" s="9">
        <v>43032</v>
      </c>
      <c r="U270" s="9">
        <v>43034</v>
      </c>
      <c r="V270" s="12">
        <v>254</v>
      </c>
      <c r="W270" s="12">
        <v>45</v>
      </c>
      <c r="X270" s="17">
        <v>0.25</v>
      </c>
      <c r="Y270">
        <v>52.25</v>
      </c>
      <c r="Z270" s="12">
        <v>97.25</v>
      </c>
      <c r="AA270" s="12">
        <v>15.527310924369747</v>
      </c>
      <c r="AB270" s="12">
        <v>111.75</v>
      </c>
      <c r="AF270" s="18">
        <f t="shared" si="4"/>
        <v>0</v>
      </c>
    </row>
    <row r="271" spans="1:32" customFormat="1" x14ac:dyDescent="0.25">
      <c r="A271" t="s">
        <v>9</v>
      </c>
      <c r="B271" t="s">
        <v>10</v>
      </c>
      <c r="C271" t="s">
        <v>705</v>
      </c>
      <c r="D271" s="9">
        <v>43032</v>
      </c>
      <c r="E271" s="9">
        <v>43035</v>
      </c>
      <c r="F271">
        <v>280</v>
      </c>
      <c r="G271" t="s">
        <v>706</v>
      </c>
      <c r="H271">
        <v>35</v>
      </c>
      <c r="I271" t="s">
        <v>707</v>
      </c>
      <c r="J271">
        <v>20024</v>
      </c>
      <c r="K271" t="s">
        <v>9</v>
      </c>
      <c r="L271" t="s">
        <v>10</v>
      </c>
      <c r="M271" t="s">
        <v>10</v>
      </c>
      <c r="N271" t="s">
        <v>886</v>
      </c>
      <c r="O271" s="14">
        <v>60316</v>
      </c>
      <c r="P271" t="s">
        <v>887</v>
      </c>
      <c r="Q271" s="15" t="s">
        <v>849</v>
      </c>
      <c r="R271" s="15" t="s">
        <v>848</v>
      </c>
      <c r="S271" t="s">
        <v>705</v>
      </c>
      <c r="T271" s="9">
        <v>43032</v>
      </c>
      <c r="U271" s="9">
        <v>43035</v>
      </c>
      <c r="V271" s="12">
        <v>280</v>
      </c>
      <c r="W271" s="12">
        <v>35</v>
      </c>
      <c r="X271" s="17">
        <v>0.25</v>
      </c>
      <c r="Y271">
        <v>61.25</v>
      </c>
      <c r="Z271" s="12">
        <v>96.25</v>
      </c>
      <c r="AA271" s="12">
        <v>15.367647058823529</v>
      </c>
      <c r="AB271" s="12">
        <v>148.75</v>
      </c>
      <c r="AF271" s="18">
        <f t="shared" si="4"/>
        <v>0</v>
      </c>
    </row>
    <row r="272" spans="1:32" customFormat="1" x14ac:dyDescent="0.25">
      <c r="A272" t="s">
        <v>677</v>
      </c>
      <c r="B272" t="s">
        <v>678</v>
      </c>
      <c r="C272" t="s">
        <v>708</v>
      </c>
      <c r="D272" s="9">
        <v>43032</v>
      </c>
      <c r="E272" s="9">
        <v>43035</v>
      </c>
      <c r="F272">
        <v>193</v>
      </c>
      <c r="H272">
        <v>35</v>
      </c>
      <c r="I272" t="s">
        <v>709</v>
      </c>
      <c r="J272">
        <v>20036</v>
      </c>
      <c r="K272" t="s">
        <v>677</v>
      </c>
      <c r="L272" t="s">
        <v>678</v>
      </c>
      <c r="M272" t="s">
        <v>1105</v>
      </c>
      <c r="N272" t="s">
        <v>1106</v>
      </c>
      <c r="O272" s="14">
        <v>63454</v>
      </c>
      <c r="P272" t="s">
        <v>1107</v>
      </c>
      <c r="Q272" s="15" t="s">
        <v>848</v>
      </c>
      <c r="R272" s="15" t="s">
        <v>849</v>
      </c>
      <c r="S272" t="s">
        <v>708</v>
      </c>
      <c r="T272" s="9">
        <v>43032</v>
      </c>
      <c r="U272" s="9">
        <v>43035</v>
      </c>
      <c r="V272" s="12">
        <v>193</v>
      </c>
      <c r="W272" s="12">
        <v>35</v>
      </c>
      <c r="X272" s="17">
        <v>0.25</v>
      </c>
      <c r="Y272">
        <v>39.5</v>
      </c>
      <c r="Z272" s="12">
        <v>74.5</v>
      </c>
      <c r="AA272" s="12">
        <v>11.894957983193278</v>
      </c>
      <c r="AB272" s="12">
        <v>83.5</v>
      </c>
      <c r="AF272" s="18">
        <f t="shared" si="4"/>
        <v>0</v>
      </c>
    </row>
    <row r="273" spans="1:32" customFormat="1" x14ac:dyDescent="0.25">
      <c r="A273" t="s">
        <v>12</v>
      </c>
      <c r="B273" t="s">
        <v>108</v>
      </c>
      <c r="C273" t="s">
        <v>710</v>
      </c>
      <c r="D273" s="9">
        <v>43032</v>
      </c>
      <c r="E273" s="9">
        <v>43037</v>
      </c>
      <c r="F273">
        <v>352</v>
      </c>
      <c r="H273">
        <v>50</v>
      </c>
      <c r="I273" t="s">
        <v>711</v>
      </c>
      <c r="J273">
        <v>50037</v>
      </c>
      <c r="K273" t="s">
        <v>12</v>
      </c>
      <c r="L273" t="s">
        <v>850</v>
      </c>
      <c r="M273" t="s">
        <v>850</v>
      </c>
      <c r="N273" t="s">
        <v>851</v>
      </c>
      <c r="O273" s="14">
        <v>31185</v>
      </c>
      <c r="P273" t="s">
        <v>852</v>
      </c>
      <c r="Q273" s="15" t="s">
        <v>849</v>
      </c>
      <c r="R273" s="15" t="s">
        <v>848</v>
      </c>
      <c r="S273" t="s">
        <v>710</v>
      </c>
      <c r="T273" s="9">
        <v>43032</v>
      </c>
      <c r="U273" s="9">
        <v>43037</v>
      </c>
      <c r="V273" s="12">
        <v>352</v>
      </c>
      <c r="W273" s="12">
        <v>50</v>
      </c>
      <c r="X273" s="17">
        <v>0.25</v>
      </c>
      <c r="Y273">
        <v>75.5</v>
      </c>
      <c r="Z273" s="12">
        <v>125.5</v>
      </c>
      <c r="AA273" s="12">
        <v>20.037815126050422</v>
      </c>
      <c r="AB273" s="12">
        <v>176.5</v>
      </c>
      <c r="AF273" s="18">
        <f t="shared" si="4"/>
        <v>0</v>
      </c>
    </row>
    <row r="274" spans="1:32" customFormat="1" x14ac:dyDescent="0.25">
      <c r="A274" t="s">
        <v>582</v>
      </c>
      <c r="B274" t="s">
        <v>583</v>
      </c>
      <c r="C274" t="s">
        <v>712</v>
      </c>
      <c r="D274" s="9">
        <v>43032</v>
      </c>
      <c r="E274" s="9">
        <v>43035</v>
      </c>
      <c r="F274">
        <v>341</v>
      </c>
      <c r="G274">
        <v>1</v>
      </c>
      <c r="H274">
        <v>49</v>
      </c>
      <c r="I274" t="s">
        <v>713</v>
      </c>
      <c r="J274">
        <v>20020</v>
      </c>
      <c r="K274" t="s">
        <v>582</v>
      </c>
      <c r="L274" t="s">
        <v>583</v>
      </c>
      <c r="M274" t="s">
        <v>583</v>
      </c>
      <c r="N274" t="s">
        <v>1096</v>
      </c>
      <c r="O274" s="14">
        <v>64293</v>
      </c>
      <c r="P274" t="s">
        <v>1097</v>
      </c>
      <c r="Q274" s="15" t="s">
        <v>848</v>
      </c>
      <c r="R274" s="15" t="s">
        <v>849</v>
      </c>
      <c r="S274" t="s">
        <v>712</v>
      </c>
      <c r="T274" s="9">
        <v>43032</v>
      </c>
      <c r="U274" s="9">
        <v>43035</v>
      </c>
      <c r="V274" s="12">
        <v>341</v>
      </c>
      <c r="W274" s="12">
        <v>49</v>
      </c>
      <c r="X274" s="17">
        <v>0.25</v>
      </c>
      <c r="Y274">
        <v>73</v>
      </c>
      <c r="Z274" s="12">
        <v>122</v>
      </c>
      <c r="AA274" s="12">
        <v>19.478991596638654</v>
      </c>
      <c r="AB274" s="12">
        <v>170</v>
      </c>
      <c r="AF274" s="18">
        <f t="shared" si="4"/>
        <v>0</v>
      </c>
    </row>
    <row r="275" spans="1:32" customFormat="1" x14ac:dyDescent="0.25">
      <c r="A275" t="s">
        <v>12</v>
      </c>
      <c r="B275" t="s">
        <v>13</v>
      </c>
      <c r="C275" t="s">
        <v>714</v>
      </c>
      <c r="D275" s="9">
        <v>43032</v>
      </c>
      <c r="E275" s="9">
        <v>43035</v>
      </c>
      <c r="F275">
        <v>207</v>
      </c>
      <c r="H275">
        <v>35</v>
      </c>
      <c r="I275" t="s">
        <v>715</v>
      </c>
      <c r="J275">
        <v>50014</v>
      </c>
      <c r="K275" t="s">
        <v>12</v>
      </c>
      <c r="L275" t="s">
        <v>950</v>
      </c>
      <c r="M275" t="s">
        <v>950</v>
      </c>
      <c r="N275" t="s">
        <v>951</v>
      </c>
      <c r="O275" s="14">
        <v>22767</v>
      </c>
      <c r="P275" t="s">
        <v>952</v>
      </c>
      <c r="Q275" s="15" t="s">
        <v>848</v>
      </c>
      <c r="R275" s="15" t="s">
        <v>849</v>
      </c>
      <c r="S275" t="s">
        <v>714</v>
      </c>
      <c r="T275" s="9">
        <v>43032</v>
      </c>
      <c r="U275" s="9">
        <v>43035</v>
      </c>
      <c r="V275" s="12">
        <v>207</v>
      </c>
      <c r="W275" s="12">
        <v>35</v>
      </c>
      <c r="X275" s="17">
        <v>0.25</v>
      </c>
      <c r="Y275">
        <v>43</v>
      </c>
      <c r="Z275" s="12">
        <v>78</v>
      </c>
      <c r="AA275" s="12">
        <v>12.453781512605042</v>
      </c>
      <c r="AB275" s="12">
        <v>94</v>
      </c>
      <c r="AF275" s="18">
        <f t="shared" si="4"/>
        <v>0</v>
      </c>
    </row>
    <row r="276" spans="1:32" customFormat="1" x14ac:dyDescent="0.25">
      <c r="A276" t="s">
        <v>18</v>
      </c>
      <c r="B276" t="s">
        <v>716</v>
      </c>
      <c r="C276" t="s">
        <v>717</v>
      </c>
      <c r="D276" s="9">
        <v>43032</v>
      </c>
      <c r="E276" s="9">
        <v>43039</v>
      </c>
      <c r="F276">
        <v>437</v>
      </c>
      <c r="G276" t="s">
        <v>718</v>
      </c>
      <c r="H276">
        <v>50</v>
      </c>
      <c r="I276" t="s">
        <v>719</v>
      </c>
      <c r="J276">
        <v>60038</v>
      </c>
      <c r="K276" t="s">
        <v>18</v>
      </c>
      <c r="L276" t="s">
        <v>716</v>
      </c>
      <c r="M276" t="s">
        <v>1108</v>
      </c>
      <c r="N276" t="s">
        <v>1109</v>
      </c>
      <c r="O276" s="14">
        <v>10179</v>
      </c>
      <c r="P276" t="s">
        <v>1110</v>
      </c>
      <c r="Q276" s="15" t="s">
        <v>848</v>
      </c>
      <c r="R276" s="15" t="s">
        <v>849</v>
      </c>
      <c r="S276" t="s">
        <v>717</v>
      </c>
      <c r="T276" s="9">
        <v>43032</v>
      </c>
      <c r="U276" s="9">
        <v>43039</v>
      </c>
      <c r="V276" s="12">
        <v>437</v>
      </c>
      <c r="W276" s="12">
        <v>50</v>
      </c>
      <c r="X276" s="17">
        <v>0.25</v>
      </c>
      <c r="Y276">
        <v>96.75</v>
      </c>
      <c r="Z276" s="12">
        <v>146.75</v>
      </c>
      <c r="AA276" s="12">
        <v>23.430672268907564</v>
      </c>
      <c r="AB276" s="12">
        <v>240.25</v>
      </c>
      <c r="AF276" s="18">
        <f t="shared" si="4"/>
        <v>0</v>
      </c>
    </row>
    <row r="277" spans="1:32" customFormat="1" x14ac:dyDescent="0.25">
      <c r="A277" t="s">
        <v>11</v>
      </c>
      <c r="B277" t="s">
        <v>449</v>
      </c>
      <c r="C277" t="s">
        <v>720</v>
      </c>
      <c r="D277" s="9">
        <v>43032</v>
      </c>
      <c r="E277" s="9">
        <v>43035</v>
      </c>
      <c r="G277">
        <v>284</v>
      </c>
      <c r="H277">
        <v>55</v>
      </c>
      <c r="I277" t="s">
        <v>721</v>
      </c>
      <c r="J277">
        <v>10100</v>
      </c>
      <c r="K277" t="s">
        <v>11</v>
      </c>
      <c r="L277" t="s">
        <v>449</v>
      </c>
      <c r="M277" t="s">
        <v>449</v>
      </c>
      <c r="N277" t="s">
        <v>1072</v>
      </c>
      <c r="O277" s="14">
        <v>19124</v>
      </c>
      <c r="P277" t="s">
        <v>1073</v>
      </c>
      <c r="Q277" s="15" t="s">
        <v>849</v>
      </c>
      <c r="R277" s="15" t="s">
        <v>848</v>
      </c>
      <c r="S277" t="s">
        <v>720</v>
      </c>
      <c r="T277" s="9">
        <v>43032</v>
      </c>
      <c r="U277" s="9">
        <v>43035</v>
      </c>
      <c r="V277" s="12">
        <v>0</v>
      </c>
      <c r="W277" s="12">
        <v>55</v>
      </c>
      <c r="X277" s="17">
        <v>0.25</v>
      </c>
      <c r="Y277">
        <v>-13.75</v>
      </c>
      <c r="Z277" s="12">
        <v>41.25</v>
      </c>
      <c r="AA277" s="12">
        <v>6.5861344537815123</v>
      </c>
      <c r="AB277" s="12">
        <v>-96.25</v>
      </c>
      <c r="AF277" s="18">
        <f t="shared" si="4"/>
        <v>0</v>
      </c>
    </row>
    <row r="278" spans="1:32" customFormat="1" x14ac:dyDescent="0.25">
      <c r="A278" t="s">
        <v>12</v>
      </c>
      <c r="B278" t="s">
        <v>33</v>
      </c>
      <c r="C278" t="s">
        <v>722</v>
      </c>
      <c r="D278" s="9">
        <v>43033</v>
      </c>
      <c r="E278" s="9">
        <v>43035</v>
      </c>
      <c r="F278">
        <v>145</v>
      </c>
      <c r="H278">
        <v>30</v>
      </c>
      <c r="I278" t="s">
        <v>723</v>
      </c>
      <c r="J278">
        <v>50005</v>
      </c>
      <c r="K278" t="s">
        <v>12</v>
      </c>
      <c r="L278" t="s">
        <v>33</v>
      </c>
      <c r="M278" t="s">
        <v>33</v>
      </c>
      <c r="N278" t="s">
        <v>862</v>
      </c>
      <c r="O278" s="14">
        <v>20359</v>
      </c>
      <c r="P278" t="s">
        <v>863</v>
      </c>
      <c r="Q278" s="15" t="s">
        <v>848</v>
      </c>
      <c r="R278" s="15" t="s">
        <v>849</v>
      </c>
      <c r="S278" t="s">
        <v>722</v>
      </c>
      <c r="T278" s="9">
        <v>43033</v>
      </c>
      <c r="U278" s="9">
        <v>43035</v>
      </c>
      <c r="V278" s="12">
        <v>145</v>
      </c>
      <c r="W278" s="12">
        <v>30</v>
      </c>
      <c r="X278" s="17">
        <v>0.25</v>
      </c>
      <c r="Y278">
        <v>28.75</v>
      </c>
      <c r="Z278" s="12">
        <v>58.75</v>
      </c>
      <c r="AA278" s="12">
        <v>9.3802521008403374</v>
      </c>
      <c r="AB278" s="12">
        <v>56.25</v>
      </c>
      <c r="AF278" s="18">
        <f t="shared" si="4"/>
        <v>0</v>
      </c>
    </row>
    <row r="279" spans="1:32" customFormat="1" x14ac:dyDescent="0.25">
      <c r="A279" t="s">
        <v>15</v>
      </c>
      <c r="B279" t="s">
        <v>47</v>
      </c>
      <c r="C279" t="s">
        <v>724</v>
      </c>
      <c r="D279" s="9">
        <v>43033</v>
      </c>
      <c r="E279" s="9">
        <v>43037</v>
      </c>
      <c r="F279">
        <v>352</v>
      </c>
      <c r="H279">
        <v>35</v>
      </c>
      <c r="I279" t="s">
        <v>725</v>
      </c>
      <c r="J279">
        <v>30017</v>
      </c>
      <c r="K279" t="s">
        <v>15</v>
      </c>
      <c r="L279" t="s">
        <v>864</v>
      </c>
      <c r="M279" t="s">
        <v>864</v>
      </c>
      <c r="N279" t="s">
        <v>865</v>
      </c>
      <c r="O279" s="14">
        <v>40227</v>
      </c>
      <c r="P279" t="s">
        <v>866</v>
      </c>
      <c r="Q279" s="15" t="s">
        <v>848</v>
      </c>
      <c r="R279" s="15" t="s">
        <v>849</v>
      </c>
      <c r="S279" t="s">
        <v>724</v>
      </c>
      <c r="T279" s="9">
        <v>43033</v>
      </c>
      <c r="U279" s="9">
        <v>43037</v>
      </c>
      <c r="V279" s="12">
        <v>352</v>
      </c>
      <c r="W279" s="12">
        <v>35</v>
      </c>
      <c r="X279" s="17">
        <v>0.25</v>
      </c>
      <c r="Y279">
        <v>79.25</v>
      </c>
      <c r="Z279" s="12">
        <v>114.25</v>
      </c>
      <c r="AA279" s="12">
        <v>18.241596638655462</v>
      </c>
      <c r="AB279" s="12">
        <v>202.75</v>
      </c>
      <c r="AF279" s="18">
        <f t="shared" si="4"/>
        <v>0</v>
      </c>
    </row>
    <row r="280" spans="1:32" customFormat="1" x14ac:dyDescent="0.25">
      <c r="A280" t="s">
        <v>18</v>
      </c>
      <c r="B280" t="s">
        <v>62</v>
      </c>
      <c r="C280" t="s">
        <v>726</v>
      </c>
      <c r="D280" s="9">
        <v>43033</v>
      </c>
      <c r="E280" s="9">
        <v>43037</v>
      </c>
      <c r="F280">
        <v>252</v>
      </c>
      <c r="H280">
        <v>45</v>
      </c>
      <c r="I280" t="s">
        <v>727</v>
      </c>
      <c r="J280">
        <v>60028</v>
      </c>
      <c r="K280" t="s">
        <v>18</v>
      </c>
      <c r="L280" t="s">
        <v>1074</v>
      </c>
      <c r="M280" t="s">
        <v>1074</v>
      </c>
      <c r="N280" t="s">
        <v>1075</v>
      </c>
      <c r="O280" s="14">
        <v>10247</v>
      </c>
      <c r="P280" t="s">
        <v>1076</v>
      </c>
      <c r="Q280" s="15" t="s">
        <v>848</v>
      </c>
      <c r="R280" s="15" t="s">
        <v>849</v>
      </c>
      <c r="S280" t="s">
        <v>726</v>
      </c>
      <c r="T280" s="9">
        <v>43033</v>
      </c>
      <c r="U280" s="9">
        <v>43037</v>
      </c>
      <c r="V280" s="12">
        <v>252</v>
      </c>
      <c r="W280" s="12">
        <v>45</v>
      </c>
      <c r="X280" s="17">
        <v>0.25</v>
      </c>
      <c r="Y280">
        <v>51.75</v>
      </c>
      <c r="Z280" s="12">
        <v>96.75</v>
      </c>
      <c r="AA280" s="12">
        <v>15.447478991596638</v>
      </c>
      <c r="AB280" s="12">
        <v>110.25</v>
      </c>
      <c r="AF280" s="18">
        <f t="shared" si="4"/>
        <v>0</v>
      </c>
    </row>
    <row r="281" spans="1:32" customFormat="1" x14ac:dyDescent="0.25">
      <c r="A281" t="s">
        <v>9</v>
      </c>
      <c r="B281" t="s">
        <v>35</v>
      </c>
      <c r="C281" t="s">
        <v>728</v>
      </c>
      <c r="D281" s="9">
        <v>43033</v>
      </c>
      <c r="E281" s="9">
        <v>43035</v>
      </c>
      <c r="F281">
        <v>248</v>
      </c>
      <c r="H281">
        <v>39</v>
      </c>
      <c r="I281" t="s">
        <v>729</v>
      </c>
      <c r="J281">
        <v>20011</v>
      </c>
      <c r="K281" t="s">
        <v>9</v>
      </c>
      <c r="L281" t="s">
        <v>35</v>
      </c>
      <c r="M281" t="s">
        <v>1064</v>
      </c>
      <c r="N281" t="s">
        <v>1065</v>
      </c>
      <c r="O281" s="14">
        <v>60322</v>
      </c>
      <c r="P281" t="s">
        <v>1066</v>
      </c>
      <c r="Q281" s="15" t="s">
        <v>848</v>
      </c>
      <c r="R281" s="15" t="s">
        <v>849</v>
      </c>
      <c r="S281" t="s">
        <v>728</v>
      </c>
      <c r="T281" s="9">
        <v>43033</v>
      </c>
      <c r="U281" s="9">
        <v>43035</v>
      </c>
      <c r="V281" s="12">
        <v>248</v>
      </c>
      <c r="W281" s="12">
        <v>39</v>
      </c>
      <c r="X281" s="17">
        <v>0.25</v>
      </c>
      <c r="Y281">
        <v>52.25</v>
      </c>
      <c r="Z281" s="12">
        <v>91.25</v>
      </c>
      <c r="AA281" s="12">
        <v>14.569327731092438</v>
      </c>
      <c r="AB281" s="12">
        <v>117.75</v>
      </c>
      <c r="AF281" s="18">
        <f t="shared" si="4"/>
        <v>0</v>
      </c>
    </row>
    <row r="282" spans="1:32" customFormat="1" x14ac:dyDescent="0.25">
      <c r="A282" t="s">
        <v>18</v>
      </c>
      <c r="B282" t="s">
        <v>34</v>
      </c>
      <c r="C282" t="s">
        <v>730</v>
      </c>
      <c r="D282" s="9">
        <v>43033</v>
      </c>
      <c r="E282" s="9">
        <v>43036</v>
      </c>
      <c r="F282">
        <v>564</v>
      </c>
      <c r="G282">
        <v>-1</v>
      </c>
      <c r="H282">
        <v>60</v>
      </c>
      <c r="I282" t="s">
        <v>731</v>
      </c>
      <c r="J282">
        <v>60001</v>
      </c>
      <c r="K282" t="s">
        <v>18</v>
      </c>
      <c r="L282" t="s">
        <v>903</v>
      </c>
      <c r="M282" t="s">
        <v>903</v>
      </c>
      <c r="N282" t="s">
        <v>904</v>
      </c>
      <c r="O282" s="14">
        <v>10247</v>
      </c>
      <c r="P282" t="s">
        <v>905</v>
      </c>
      <c r="Q282" s="15" t="s">
        <v>849</v>
      </c>
      <c r="R282" s="15" t="s">
        <v>848</v>
      </c>
      <c r="S282" t="s">
        <v>730</v>
      </c>
      <c r="T282" s="9">
        <v>43033</v>
      </c>
      <c r="U282" s="9">
        <v>43036</v>
      </c>
      <c r="V282" s="12">
        <v>564</v>
      </c>
      <c r="W282" s="12">
        <v>60</v>
      </c>
      <c r="X282" s="17">
        <v>0.25</v>
      </c>
      <c r="Y282">
        <v>126</v>
      </c>
      <c r="Z282" s="12">
        <v>186</v>
      </c>
      <c r="AA282" s="12">
        <v>29.69747899159664</v>
      </c>
      <c r="AB282" s="12">
        <v>318</v>
      </c>
      <c r="AF282" s="18">
        <f t="shared" si="4"/>
        <v>0</v>
      </c>
    </row>
    <row r="283" spans="1:32" customFormat="1" x14ac:dyDescent="0.25">
      <c r="A283" t="s">
        <v>11</v>
      </c>
      <c r="B283" t="s">
        <v>58</v>
      </c>
      <c r="C283" t="s">
        <v>732</v>
      </c>
      <c r="D283" s="9">
        <v>43033</v>
      </c>
      <c r="E283" s="9">
        <v>43036</v>
      </c>
      <c r="F283">
        <v>323</v>
      </c>
      <c r="H283">
        <v>50</v>
      </c>
      <c r="I283" t="s">
        <v>733</v>
      </c>
      <c r="J283">
        <v>10043</v>
      </c>
      <c r="K283" t="s">
        <v>11</v>
      </c>
      <c r="L283" t="s">
        <v>973</v>
      </c>
      <c r="M283" t="s">
        <v>973</v>
      </c>
      <c r="N283" t="s">
        <v>974</v>
      </c>
      <c r="O283" s="14">
        <v>80469</v>
      </c>
      <c r="P283" t="s">
        <v>975</v>
      </c>
      <c r="Q283" s="15" t="s">
        <v>849</v>
      </c>
      <c r="R283" s="15" t="s">
        <v>848</v>
      </c>
      <c r="S283" t="s">
        <v>732</v>
      </c>
      <c r="T283" s="9">
        <v>43033</v>
      </c>
      <c r="U283" s="9">
        <v>43036</v>
      </c>
      <c r="V283" s="12">
        <v>323</v>
      </c>
      <c r="W283" s="12">
        <v>50</v>
      </c>
      <c r="X283" s="17">
        <v>0.2</v>
      </c>
      <c r="Y283">
        <v>54.6</v>
      </c>
      <c r="Z283" s="12">
        <v>104.6</v>
      </c>
      <c r="AA283" s="12">
        <v>16.700840336134455</v>
      </c>
      <c r="AB283" s="12">
        <v>168.4</v>
      </c>
      <c r="AF283" s="18">
        <f t="shared" si="4"/>
        <v>0</v>
      </c>
    </row>
    <row r="284" spans="1:32" customFormat="1" x14ac:dyDescent="0.25">
      <c r="A284" t="s">
        <v>9</v>
      </c>
      <c r="B284" t="s">
        <v>28</v>
      </c>
      <c r="C284" t="s">
        <v>734</v>
      </c>
      <c r="D284" s="9">
        <v>43033</v>
      </c>
      <c r="E284" s="9">
        <v>43035</v>
      </c>
      <c r="F284">
        <v>267</v>
      </c>
      <c r="G284">
        <v>1</v>
      </c>
      <c r="H284">
        <v>30</v>
      </c>
      <c r="I284" t="s">
        <v>735</v>
      </c>
      <c r="J284">
        <v>20028</v>
      </c>
      <c r="K284" t="s">
        <v>9</v>
      </c>
      <c r="L284" t="s">
        <v>28</v>
      </c>
      <c r="M284" t="s">
        <v>28</v>
      </c>
      <c r="N284" t="s">
        <v>895</v>
      </c>
      <c r="O284" s="14">
        <v>60313</v>
      </c>
      <c r="P284" t="s">
        <v>896</v>
      </c>
      <c r="Q284" s="15" t="s">
        <v>848</v>
      </c>
      <c r="R284" s="15" t="s">
        <v>849</v>
      </c>
      <c r="S284" t="s">
        <v>734</v>
      </c>
      <c r="T284" s="9">
        <v>43033</v>
      </c>
      <c r="U284" s="9">
        <v>43035</v>
      </c>
      <c r="V284" s="12">
        <v>267</v>
      </c>
      <c r="W284" s="12">
        <v>30</v>
      </c>
      <c r="X284" s="17">
        <v>0.25</v>
      </c>
      <c r="Y284">
        <v>59.25</v>
      </c>
      <c r="Z284" s="12">
        <v>89.25</v>
      </c>
      <c r="AA284" s="12">
        <v>14.25</v>
      </c>
      <c r="AB284" s="12">
        <v>147.75</v>
      </c>
      <c r="AF284" s="18">
        <f t="shared" si="4"/>
        <v>0</v>
      </c>
    </row>
    <row r="285" spans="1:32" customFormat="1" x14ac:dyDescent="0.25">
      <c r="A285" t="s">
        <v>11</v>
      </c>
      <c r="B285" t="s">
        <v>30</v>
      </c>
      <c r="C285" t="s">
        <v>736</v>
      </c>
      <c r="D285" s="9">
        <v>43033</v>
      </c>
      <c r="E285" s="9">
        <v>43037</v>
      </c>
      <c r="F285">
        <v>357</v>
      </c>
      <c r="H285">
        <v>49</v>
      </c>
      <c r="I285" t="s">
        <v>737</v>
      </c>
      <c r="J285">
        <v>10033</v>
      </c>
      <c r="K285" t="s">
        <v>11</v>
      </c>
      <c r="L285" t="s">
        <v>30</v>
      </c>
      <c r="M285" t="s">
        <v>30</v>
      </c>
      <c r="N285" t="s">
        <v>1111</v>
      </c>
      <c r="O285" s="14">
        <v>80799</v>
      </c>
      <c r="P285" t="s">
        <v>1112</v>
      </c>
      <c r="Q285" s="15" t="s">
        <v>848</v>
      </c>
      <c r="R285" s="15" t="s">
        <v>849</v>
      </c>
      <c r="S285" t="s">
        <v>736</v>
      </c>
      <c r="T285" s="9">
        <v>43033</v>
      </c>
      <c r="U285" s="9">
        <v>43037</v>
      </c>
      <c r="V285" s="12">
        <v>357</v>
      </c>
      <c r="W285" s="12">
        <v>49</v>
      </c>
      <c r="X285" s="17">
        <v>0.25</v>
      </c>
      <c r="Y285">
        <v>77</v>
      </c>
      <c r="Z285" s="12">
        <v>126</v>
      </c>
      <c r="AA285" s="12">
        <v>20.117647058823529</v>
      </c>
      <c r="AB285" s="12">
        <v>182</v>
      </c>
      <c r="AF285" s="18">
        <f t="shared" si="4"/>
        <v>0</v>
      </c>
    </row>
    <row r="286" spans="1:32" customFormat="1" x14ac:dyDescent="0.25">
      <c r="A286" t="s">
        <v>9</v>
      </c>
      <c r="B286" t="s">
        <v>68</v>
      </c>
      <c r="C286" t="s">
        <v>738</v>
      </c>
      <c r="D286" s="9">
        <v>43033</v>
      </c>
      <c r="E286" s="9">
        <v>43037</v>
      </c>
      <c r="F286">
        <v>445</v>
      </c>
      <c r="H286">
        <v>30</v>
      </c>
      <c r="I286" t="s">
        <v>739</v>
      </c>
      <c r="J286">
        <v>20025</v>
      </c>
      <c r="K286" t="s">
        <v>9</v>
      </c>
      <c r="L286" t="s">
        <v>1077</v>
      </c>
      <c r="M286" t="s">
        <v>1077</v>
      </c>
      <c r="N286" t="s">
        <v>1078</v>
      </c>
      <c r="O286" s="14">
        <v>60322</v>
      </c>
      <c r="P286" t="s">
        <v>1079</v>
      </c>
      <c r="Q286" s="15" t="s">
        <v>848</v>
      </c>
      <c r="R286" s="15" t="s">
        <v>849</v>
      </c>
      <c r="S286" t="s">
        <v>738</v>
      </c>
      <c r="T286" s="9">
        <v>43033</v>
      </c>
      <c r="U286" s="9">
        <v>43037</v>
      </c>
      <c r="V286" s="12">
        <v>445</v>
      </c>
      <c r="W286" s="12">
        <v>30</v>
      </c>
      <c r="X286" s="17">
        <v>0.25</v>
      </c>
      <c r="Y286">
        <v>103.75</v>
      </c>
      <c r="Z286" s="12">
        <v>133.75</v>
      </c>
      <c r="AA286" s="12">
        <v>21.355042016806724</v>
      </c>
      <c r="AB286" s="12">
        <v>281.25</v>
      </c>
      <c r="AF286" s="18">
        <f t="shared" si="4"/>
        <v>0</v>
      </c>
    </row>
    <row r="287" spans="1:32" customFormat="1" x14ac:dyDescent="0.25">
      <c r="A287" t="s">
        <v>18</v>
      </c>
      <c r="B287" t="s">
        <v>266</v>
      </c>
      <c r="C287" t="s">
        <v>740</v>
      </c>
      <c r="D287" s="9">
        <v>43033</v>
      </c>
      <c r="E287" s="9">
        <v>43036</v>
      </c>
      <c r="F287">
        <v>220</v>
      </c>
      <c r="G287" t="s">
        <v>741</v>
      </c>
      <c r="H287">
        <v>45</v>
      </c>
      <c r="I287" t="s">
        <v>742</v>
      </c>
      <c r="J287">
        <v>60002</v>
      </c>
      <c r="K287" t="s">
        <v>18</v>
      </c>
      <c r="L287" t="s">
        <v>980</v>
      </c>
      <c r="M287" t="s">
        <v>980</v>
      </c>
      <c r="N287" t="s">
        <v>981</v>
      </c>
      <c r="O287" s="14">
        <v>12047</v>
      </c>
      <c r="P287" t="s">
        <v>982</v>
      </c>
      <c r="Q287" s="15" t="s">
        <v>848</v>
      </c>
      <c r="R287" s="15" t="s">
        <v>849</v>
      </c>
      <c r="S287" t="s">
        <v>740</v>
      </c>
      <c r="T287" s="9">
        <v>43033</v>
      </c>
      <c r="U287" s="9">
        <v>43036</v>
      </c>
      <c r="V287" s="12">
        <v>220</v>
      </c>
      <c r="W287" s="12">
        <v>45</v>
      </c>
      <c r="X287" s="17">
        <v>0.25</v>
      </c>
      <c r="Y287">
        <v>43.75</v>
      </c>
      <c r="Z287" s="12">
        <v>88.75</v>
      </c>
      <c r="AA287" s="12">
        <v>14.170168067226891</v>
      </c>
      <c r="AB287" s="12">
        <v>86.25</v>
      </c>
      <c r="AF287" s="18">
        <f t="shared" si="4"/>
        <v>0</v>
      </c>
    </row>
    <row r="288" spans="1:32" customFormat="1" x14ac:dyDescent="0.25">
      <c r="A288" t="s">
        <v>11</v>
      </c>
      <c r="B288" t="s">
        <v>263</v>
      </c>
      <c r="C288" t="s">
        <v>743</v>
      </c>
      <c r="D288" s="9">
        <v>43033</v>
      </c>
      <c r="E288" s="9">
        <v>43037</v>
      </c>
      <c r="F288">
        <v>270</v>
      </c>
      <c r="G288">
        <v>1</v>
      </c>
      <c r="H288">
        <v>40</v>
      </c>
      <c r="I288" t="s">
        <v>744</v>
      </c>
      <c r="J288">
        <v>10104</v>
      </c>
      <c r="K288" t="s">
        <v>11</v>
      </c>
      <c r="L288" t="s">
        <v>263</v>
      </c>
      <c r="M288" t="s">
        <v>263</v>
      </c>
      <c r="N288" t="s">
        <v>978</v>
      </c>
      <c r="O288" s="14">
        <v>81539</v>
      </c>
      <c r="P288" t="s">
        <v>979</v>
      </c>
      <c r="Q288" s="15" t="s">
        <v>848</v>
      </c>
      <c r="R288" s="15" t="s">
        <v>849</v>
      </c>
      <c r="S288" t="s">
        <v>743</v>
      </c>
      <c r="T288" s="9">
        <v>43033</v>
      </c>
      <c r="U288" s="9">
        <v>43037</v>
      </c>
      <c r="V288" s="12">
        <v>270</v>
      </c>
      <c r="W288" s="12">
        <v>40</v>
      </c>
      <c r="X288" s="17">
        <v>0.25</v>
      </c>
      <c r="Y288">
        <v>57.5</v>
      </c>
      <c r="Z288" s="12">
        <v>97.5</v>
      </c>
      <c r="AA288" s="12">
        <v>15.567226890756302</v>
      </c>
      <c r="AB288" s="12">
        <v>132.5</v>
      </c>
      <c r="AF288" s="18">
        <f t="shared" si="4"/>
        <v>0</v>
      </c>
    </row>
    <row r="289" spans="1:32" customFormat="1" x14ac:dyDescent="0.25">
      <c r="A289" t="s">
        <v>12</v>
      </c>
      <c r="B289" t="s">
        <v>590</v>
      </c>
      <c r="C289" t="s">
        <v>745</v>
      </c>
      <c r="D289" s="9">
        <v>43034</v>
      </c>
      <c r="E289" s="9">
        <v>43037</v>
      </c>
      <c r="F289">
        <v>205</v>
      </c>
      <c r="H289">
        <v>35</v>
      </c>
      <c r="I289" t="s">
        <v>746</v>
      </c>
      <c r="J289">
        <v>50035</v>
      </c>
      <c r="K289" t="s">
        <v>12</v>
      </c>
      <c r="L289" t="s">
        <v>33</v>
      </c>
      <c r="M289" t="s">
        <v>33</v>
      </c>
      <c r="N289" t="s">
        <v>862</v>
      </c>
      <c r="O289" s="14">
        <v>20359</v>
      </c>
      <c r="P289" t="s">
        <v>863</v>
      </c>
      <c r="Q289" s="15" t="s">
        <v>848</v>
      </c>
      <c r="R289" s="15" t="s">
        <v>849</v>
      </c>
      <c r="S289" t="s">
        <v>745</v>
      </c>
      <c r="T289" s="9">
        <v>43034</v>
      </c>
      <c r="U289" s="9">
        <v>43037</v>
      </c>
      <c r="V289" s="12">
        <v>205</v>
      </c>
      <c r="W289" s="12">
        <v>35</v>
      </c>
      <c r="X289" s="17">
        <v>0.25</v>
      </c>
      <c r="Y289">
        <v>42.5</v>
      </c>
      <c r="Z289" s="12">
        <v>77.5</v>
      </c>
      <c r="AA289" s="12">
        <v>12.373949579831933</v>
      </c>
      <c r="AB289" s="12">
        <v>92.5</v>
      </c>
      <c r="AF289" s="18">
        <f t="shared" si="4"/>
        <v>0</v>
      </c>
    </row>
    <row r="290" spans="1:32" customFormat="1" x14ac:dyDescent="0.25">
      <c r="A290" t="s">
        <v>11</v>
      </c>
      <c r="B290" t="s">
        <v>66</v>
      </c>
      <c r="C290" t="s">
        <v>747</v>
      </c>
      <c r="D290" s="9">
        <v>43034</v>
      </c>
      <c r="E290" s="9">
        <v>43037</v>
      </c>
      <c r="F290">
        <v>365</v>
      </c>
      <c r="G290" t="s">
        <v>748</v>
      </c>
      <c r="H290">
        <v>50</v>
      </c>
      <c r="I290" t="s">
        <v>749</v>
      </c>
      <c r="J290">
        <v>10094</v>
      </c>
      <c r="K290" t="s">
        <v>11</v>
      </c>
      <c r="L290" t="s">
        <v>66</v>
      </c>
      <c r="M290" t="s">
        <v>66</v>
      </c>
      <c r="N290" t="s">
        <v>890</v>
      </c>
      <c r="O290" s="14">
        <v>80804</v>
      </c>
      <c r="P290" t="s">
        <v>891</v>
      </c>
      <c r="Q290" s="15" t="s">
        <v>848</v>
      </c>
      <c r="R290" s="15" t="s">
        <v>849</v>
      </c>
      <c r="S290" t="s">
        <v>747</v>
      </c>
      <c r="T290" s="9">
        <v>43034</v>
      </c>
      <c r="U290" s="9">
        <v>43037</v>
      </c>
      <c r="V290" s="12">
        <v>365</v>
      </c>
      <c r="W290" s="12">
        <v>50</v>
      </c>
      <c r="X290" s="17">
        <v>0.25</v>
      </c>
      <c r="Y290">
        <v>78.75</v>
      </c>
      <c r="Z290" s="12">
        <v>128.75</v>
      </c>
      <c r="AA290" s="12">
        <v>20.556722689075627</v>
      </c>
      <c r="AB290" s="12">
        <v>186.25</v>
      </c>
      <c r="AF290" s="18">
        <f t="shared" si="4"/>
        <v>0</v>
      </c>
    </row>
    <row r="291" spans="1:32" customFormat="1" x14ac:dyDescent="0.25">
      <c r="A291" t="s">
        <v>38</v>
      </c>
      <c r="B291" t="s">
        <v>310</v>
      </c>
      <c r="C291" t="s">
        <v>750</v>
      </c>
      <c r="D291" s="9">
        <v>43034</v>
      </c>
      <c r="E291" s="9">
        <v>43039</v>
      </c>
      <c r="F291">
        <v>268</v>
      </c>
      <c r="G291" t="s">
        <v>751</v>
      </c>
      <c r="H291">
        <v>60</v>
      </c>
      <c r="I291" t="s">
        <v>752</v>
      </c>
      <c r="J291">
        <v>40031</v>
      </c>
      <c r="K291" t="s">
        <v>38</v>
      </c>
      <c r="L291" t="s">
        <v>1002</v>
      </c>
      <c r="M291" t="s">
        <v>1002</v>
      </c>
      <c r="N291" t="s">
        <v>1003</v>
      </c>
      <c r="O291" s="14" t="s">
        <v>1004</v>
      </c>
      <c r="P291" t="s">
        <v>1005</v>
      </c>
      <c r="Q291" s="15" t="s">
        <v>848</v>
      </c>
      <c r="R291" s="15" t="s">
        <v>849</v>
      </c>
      <c r="S291" t="s">
        <v>750</v>
      </c>
      <c r="T291" s="9">
        <v>43034</v>
      </c>
      <c r="U291" s="9">
        <v>43039</v>
      </c>
      <c r="V291" s="12">
        <v>268</v>
      </c>
      <c r="W291" s="12">
        <v>60</v>
      </c>
      <c r="X291" s="17">
        <v>0.25</v>
      </c>
      <c r="Y291">
        <v>52</v>
      </c>
      <c r="Z291" s="12">
        <v>112</v>
      </c>
      <c r="AA291" s="12">
        <v>17.882352941176471</v>
      </c>
      <c r="AB291" s="12">
        <v>96</v>
      </c>
      <c r="AF291" s="18">
        <f t="shared" si="4"/>
        <v>0</v>
      </c>
    </row>
    <row r="292" spans="1:32" customFormat="1" x14ac:dyDescent="0.25">
      <c r="A292" t="s">
        <v>11</v>
      </c>
      <c r="B292" t="s">
        <v>40</v>
      </c>
      <c r="C292" t="s">
        <v>753</v>
      </c>
      <c r="D292" s="9">
        <v>43034</v>
      </c>
      <c r="E292" s="9">
        <v>43036</v>
      </c>
      <c r="F292">
        <v>247</v>
      </c>
      <c r="G292">
        <v>1</v>
      </c>
      <c r="H292">
        <v>35</v>
      </c>
      <c r="I292" t="s">
        <v>754</v>
      </c>
      <c r="J292">
        <v>10018</v>
      </c>
      <c r="K292" t="s">
        <v>11</v>
      </c>
      <c r="L292" t="s">
        <v>944</v>
      </c>
      <c r="M292" t="s">
        <v>944</v>
      </c>
      <c r="N292" t="s">
        <v>945</v>
      </c>
      <c r="O292" s="14">
        <v>80803</v>
      </c>
      <c r="P292" t="s">
        <v>946</v>
      </c>
      <c r="Q292" s="15" t="s">
        <v>849</v>
      </c>
      <c r="R292" s="15" t="s">
        <v>848</v>
      </c>
      <c r="S292" t="s">
        <v>753</v>
      </c>
      <c r="T292" s="9">
        <v>43034</v>
      </c>
      <c r="U292" s="9">
        <v>43036</v>
      </c>
      <c r="V292" s="12">
        <v>247</v>
      </c>
      <c r="W292" s="12">
        <v>35</v>
      </c>
      <c r="X292" s="17">
        <v>0.25</v>
      </c>
      <c r="Y292">
        <v>53</v>
      </c>
      <c r="Z292" s="12">
        <v>88</v>
      </c>
      <c r="AA292" s="12">
        <v>14.050420168067227</v>
      </c>
      <c r="AB292" s="12">
        <v>124</v>
      </c>
      <c r="AF292" s="18">
        <f t="shared" si="4"/>
        <v>0</v>
      </c>
    </row>
    <row r="293" spans="1:32" customFormat="1" x14ac:dyDescent="0.25">
      <c r="A293" t="s">
        <v>15</v>
      </c>
      <c r="B293" t="s">
        <v>16</v>
      </c>
      <c r="C293" t="s">
        <v>755</v>
      </c>
      <c r="D293" s="9">
        <v>43034</v>
      </c>
      <c r="E293" s="9">
        <v>43039</v>
      </c>
      <c r="F293">
        <v>321</v>
      </c>
      <c r="G293" t="s">
        <v>756</v>
      </c>
      <c r="H293">
        <v>30</v>
      </c>
      <c r="I293" t="s">
        <v>757</v>
      </c>
      <c r="J293">
        <v>30011</v>
      </c>
      <c r="K293" t="s">
        <v>15</v>
      </c>
      <c r="L293" t="s">
        <v>967</v>
      </c>
      <c r="M293" t="s">
        <v>967</v>
      </c>
      <c r="N293" t="s">
        <v>968</v>
      </c>
      <c r="O293" s="14">
        <v>40477</v>
      </c>
      <c r="P293" t="s">
        <v>969</v>
      </c>
      <c r="Q293" s="15" t="s">
        <v>848</v>
      </c>
      <c r="R293" s="15" t="s">
        <v>849</v>
      </c>
      <c r="S293" t="s">
        <v>755</v>
      </c>
      <c r="T293" s="9">
        <v>43034</v>
      </c>
      <c r="U293" s="9">
        <v>43039</v>
      </c>
      <c r="V293" s="12">
        <v>321</v>
      </c>
      <c r="W293" s="12">
        <v>30</v>
      </c>
      <c r="X293" s="17">
        <v>0.22</v>
      </c>
      <c r="Y293">
        <v>64.02</v>
      </c>
      <c r="Z293" s="12">
        <v>94.02</v>
      </c>
      <c r="AA293" s="12">
        <v>15.011596638655462</v>
      </c>
      <c r="AB293" s="12">
        <v>196.98000000000002</v>
      </c>
      <c r="AF293" s="18">
        <f t="shared" si="4"/>
        <v>0</v>
      </c>
    </row>
    <row r="294" spans="1:32" customFormat="1" x14ac:dyDescent="0.25">
      <c r="A294" t="s">
        <v>12</v>
      </c>
      <c r="B294" t="s">
        <v>33</v>
      </c>
      <c r="C294" t="s">
        <v>758</v>
      </c>
      <c r="D294" s="9">
        <v>43035</v>
      </c>
      <c r="E294" s="9">
        <v>43038</v>
      </c>
      <c r="F294">
        <v>215</v>
      </c>
      <c r="H294">
        <v>30</v>
      </c>
      <c r="I294" t="s">
        <v>759</v>
      </c>
      <c r="J294">
        <v>50005</v>
      </c>
      <c r="K294" t="s">
        <v>12</v>
      </c>
      <c r="L294" t="s">
        <v>33</v>
      </c>
      <c r="M294" t="s">
        <v>33</v>
      </c>
      <c r="N294" t="s">
        <v>862</v>
      </c>
      <c r="O294" s="14">
        <v>20359</v>
      </c>
      <c r="P294" t="s">
        <v>863</v>
      </c>
      <c r="Q294" s="15" t="s">
        <v>848</v>
      </c>
      <c r="R294" s="15" t="s">
        <v>849</v>
      </c>
      <c r="S294" t="s">
        <v>758</v>
      </c>
      <c r="T294" s="9">
        <v>43035</v>
      </c>
      <c r="U294" s="9">
        <v>43038</v>
      </c>
      <c r="V294" s="12">
        <v>215</v>
      </c>
      <c r="W294" s="12">
        <v>30</v>
      </c>
      <c r="X294" s="17">
        <v>0.25</v>
      </c>
      <c r="Y294">
        <v>46.25</v>
      </c>
      <c r="Z294" s="12">
        <v>76.25</v>
      </c>
      <c r="AA294" s="12">
        <v>12.17436974789916</v>
      </c>
      <c r="AB294" s="12">
        <v>108.75</v>
      </c>
      <c r="AF294" s="18">
        <f t="shared" si="4"/>
        <v>0</v>
      </c>
    </row>
    <row r="295" spans="1:32" customFormat="1" x14ac:dyDescent="0.25">
      <c r="A295" t="s">
        <v>15</v>
      </c>
      <c r="B295" t="s">
        <v>25</v>
      </c>
      <c r="C295" t="s">
        <v>760</v>
      </c>
      <c r="D295" s="9">
        <v>43035</v>
      </c>
      <c r="E295" s="9">
        <v>43037</v>
      </c>
      <c r="F295">
        <v>251</v>
      </c>
      <c r="H295">
        <v>45</v>
      </c>
      <c r="I295" t="s">
        <v>761</v>
      </c>
      <c r="J295">
        <v>30023</v>
      </c>
      <c r="K295" t="s">
        <v>15</v>
      </c>
      <c r="L295" t="s">
        <v>892</v>
      </c>
      <c r="M295" t="s">
        <v>892</v>
      </c>
      <c r="N295" t="s">
        <v>893</v>
      </c>
      <c r="O295" s="14">
        <v>40225</v>
      </c>
      <c r="P295" t="s">
        <v>894</v>
      </c>
      <c r="Q295" s="15" t="s">
        <v>848</v>
      </c>
      <c r="R295" s="15" t="s">
        <v>849</v>
      </c>
      <c r="S295" t="s">
        <v>760</v>
      </c>
      <c r="T295" s="9">
        <v>43035</v>
      </c>
      <c r="U295" s="9">
        <v>43037</v>
      </c>
      <c r="V295" s="12">
        <v>251</v>
      </c>
      <c r="W295" s="12">
        <v>45</v>
      </c>
      <c r="X295" s="17">
        <v>0.2</v>
      </c>
      <c r="Y295">
        <v>41.2</v>
      </c>
      <c r="Z295" s="12">
        <v>86.2</v>
      </c>
      <c r="AA295" s="12">
        <v>13.763025210084033</v>
      </c>
      <c r="AB295" s="12">
        <v>119.8</v>
      </c>
      <c r="AF295" s="18">
        <f t="shared" si="4"/>
        <v>0</v>
      </c>
    </row>
    <row r="296" spans="1:32" customFormat="1" x14ac:dyDescent="0.25">
      <c r="A296" t="s">
        <v>12</v>
      </c>
      <c r="B296" t="s">
        <v>13</v>
      </c>
      <c r="C296" t="s">
        <v>762</v>
      </c>
      <c r="D296" s="9">
        <v>43035</v>
      </c>
      <c r="E296" s="9">
        <v>43038</v>
      </c>
      <c r="F296">
        <v>318</v>
      </c>
      <c r="G296" t="s">
        <v>763</v>
      </c>
      <c r="H296">
        <v>35</v>
      </c>
      <c r="I296" t="s">
        <v>764</v>
      </c>
      <c r="J296">
        <v>50014</v>
      </c>
      <c r="K296" t="s">
        <v>12</v>
      </c>
      <c r="L296" t="s">
        <v>950</v>
      </c>
      <c r="M296" t="s">
        <v>950</v>
      </c>
      <c r="N296" t="s">
        <v>951</v>
      </c>
      <c r="O296" s="14">
        <v>22767</v>
      </c>
      <c r="P296" t="s">
        <v>952</v>
      </c>
      <c r="Q296" s="15" t="s">
        <v>848</v>
      </c>
      <c r="R296" s="15" t="s">
        <v>849</v>
      </c>
      <c r="S296" t="s">
        <v>762</v>
      </c>
      <c r="T296" s="9">
        <v>43035</v>
      </c>
      <c r="U296" s="9">
        <v>43038</v>
      </c>
      <c r="V296" s="12">
        <v>318</v>
      </c>
      <c r="W296" s="12">
        <v>35</v>
      </c>
      <c r="X296" s="17">
        <v>0.25</v>
      </c>
      <c r="Y296">
        <v>70.75</v>
      </c>
      <c r="Z296" s="12">
        <v>105.75</v>
      </c>
      <c r="AA296" s="12">
        <v>16.884453781512605</v>
      </c>
      <c r="AB296" s="12">
        <v>177.25</v>
      </c>
      <c r="AF296" s="18">
        <f t="shared" si="4"/>
        <v>0</v>
      </c>
    </row>
    <row r="297" spans="1:32" customFormat="1" x14ac:dyDescent="0.25">
      <c r="A297" t="s">
        <v>12</v>
      </c>
      <c r="B297" t="s">
        <v>59</v>
      </c>
      <c r="C297" t="s">
        <v>765</v>
      </c>
      <c r="D297" s="9">
        <v>43035</v>
      </c>
      <c r="E297" s="9">
        <v>43038</v>
      </c>
      <c r="F297">
        <v>315</v>
      </c>
      <c r="G297" t="s">
        <v>766</v>
      </c>
      <c r="H297">
        <v>30</v>
      </c>
      <c r="I297" t="s">
        <v>767</v>
      </c>
      <c r="J297">
        <v>50023</v>
      </c>
      <c r="K297" t="s">
        <v>12</v>
      </c>
      <c r="L297" t="s">
        <v>59</v>
      </c>
      <c r="M297" t="s">
        <v>59</v>
      </c>
      <c r="N297" t="s">
        <v>1113</v>
      </c>
      <c r="O297" s="14">
        <v>22303</v>
      </c>
      <c r="P297" t="s">
        <v>1114</v>
      </c>
      <c r="Q297" s="15" t="s">
        <v>849</v>
      </c>
      <c r="R297" s="15" t="s">
        <v>848</v>
      </c>
      <c r="S297" t="s">
        <v>765</v>
      </c>
      <c r="T297" s="9">
        <v>43035</v>
      </c>
      <c r="U297" s="9">
        <v>43038</v>
      </c>
      <c r="V297" s="12">
        <v>315</v>
      </c>
      <c r="W297" s="12">
        <v>30</v>
      </c>
      <c r="X297" s="17">
        <v>0.25</v>
      </c>
      <c r="Y297">
        <v>71.25</v>
      </c>
      <c r="Z297" s="12">
        <v>101.25</v>
      </c>
      <c r="AA297" s="12">
        <v>16.165966386554622</v>
      </c>
      <c r="AB297" s="12">
        <v>183.75</v>
      </c>
      <c r="AF297" s="18">
        <f t="shared" si="4"/>
        <v>0</v>
      </c>
    </row>
    <row r="298" spans="1:32" customFormat="1" x14ac:dyDescent="0.25">
      <c r="A298" t="s">
        <v>12</v>
      </c>
      <c r="B298" t="s">
        <v>205</v>
      </c>
      <c r="C298" t="s">
        <v>768</v>
      </c>
      <c r="D298" s="9">
        <v>43035</v>
      </c>
      <c r="E298" s="9">
        <v>43038</v>
      </c>
      <c r="F298">
        <v>210</v>
      </c>
      <c r="G298" t="s">
        <v>529</v>
      </c>
      <c r="H298">
        <v>40</v>
      </c>
      <c r="I298" t="s">
        <v>769</v>
      </c>
      <c r="J298">
        <v>50040</v>
      </c>
      <c r="K298" t="s">
        <v>12</v>
      </c>
      <c r="L298" t="s">
        <v>953</v>
      </c>
      <c r="M298" t="s">
        <v>953</v>
      </c>
      <c r="N298" t="s">
        <v>954</v>
      </c>
      <c r="O298" s="14">
        <v>24837</v>
      </c>
      <c r="P298" t="s">
        <v>955</v>
      </c>
      <c r="Q298" s="15" t="s">
        <v>848</v>
      </c>
      <c r="R298" s="15" t="s">
        <v>849</v>
      </c>
      <c r="S298" t="s">
        <v>768</v>
      </c>
      <c r="T298" s="9">
        <v>43035</v>
      </c>
      <c r="U298" s="9">
        <v>43038</v>
      </c>
      <c r="V298" s="12">
        <v>210</v>
      </c>
      <c r="W298" s="12">
        <v>40</v>
      </c>
      <c r="X298" s="17">
        <v>0.25</v>
      </c>
      <c r="Y298">
        <v>42.5</v>
      </c>
      <c r="Z298" s="12">
        <v>82.5</v>
      </c>
      <c r="AA298" s="12">
        <v>13.172268907563025</v>
      </c>
      <c r="AB298" s="12">
        <v>87.5</v>
      </c>
      <c r="AF298" s="18">
        <f t="shared" si="4"/>
        <v>0</v>
      </c>
    </row>
    <row r="299" spans="1:32" customFormat="1" x14ac:dyDescent="0.25">
      <c r="A299" t="s">
        <v>18</v>
      </c>
      <c r="B299" t="s">
        <v>214</v>
      </c>
      <c r="C299" t="s">
        <v>770</v>
      </c>
      <c r="D299" s="9">
        <v>43035</v>
      </c>
      <c r="E299" s="9">
        <v>43037</v>
      </c>
      <c r="F299">
        <v>152</v>
      </c>
      <c r="G299">
        <v>3</v>
      </c>
      <c r="H299">
        <v>35</v>
      </c>
      <c r="I299" t="s">
        <v>771</v>
      </c>
      <c r="J299">
        <v>60030</v>
      </c>
      <c r="K299" t="s">
        <v>18</v>
      </c>
      <c r="L299" t="s">
        <v>214</v>
      </c>
      <c r="M299" t="s">
        <v>214</v>
      </c>
      <c r="N299" t="s">
        <v>962</v>
      </c>
      <c r="O299" s="14">
        <v>10439</v>
      </c>
      <c r="P299" t="s">
        <v>963</v>
      </c>
      <c r="Q299" s="15" t="s">
        <v>848</v>
      </c>
      <c r="R299" s="15" t="s">
        <v>849</v>
      </c>
      <c r="S299" t="s">
        <v>770</v>
      </c>
      <c r="T299" s="9">
        <v>43035</v>
      </c>
      <c r="U299" s="9">
        <v>43037</v>
      </c>
      <c r="V299" s="12">
        <v>152</v>
      </c>
      <c r="W299" s="12">
        <v>35</v>
      </c>
      <c r="X299" s="17">
        <v>0.25</v>
      </c>
      <c r="Y299">
        <v>29.25</v>
      </c>
      <c r="Z299" s="12">
        <v>64.25</v>
      </c>
      <c r="AA299" s="12">
        <v>10.258403361344538</v>
      </c>
      <c r="AB299" s="12">
        <v>52.75</v>
      </c>
      <c r="AF299" s="18">
        <f t="shared" si="4"/>
        <v>0</v>
      </c>
    </row>
    <row r="300" spans="1:32" customFormat="1" x14ac:dyDescent="0.25">
      <c r="A300" t="s">
        <v>18</v>
      </c>
      <c r="B300" t="s">
        <v>188</v>
      </c>
      <c r="C300" t="s">
        <v>772</v>
      </c>
      <c r="D300" s="9">
        <v>43035</v>
      </c>
      <c r="E300" s="9">
        <v>43038</v>
      </c>
      <c r="F300">
        <v>203</v>
      </c>
      <c r="G300" t="s">
        <v>657</v>
      </c>
      <c r="H300">
        <v>45</v>
      </c>
      <c r="I300" t="s">
        <v>773</v>
      </c>
      <c r="J300">
        <v>60036</v>
      </c>
      <c r="K300" t="s">
        <v>18</v>
      </c>
      <c r="L300" t="s">
        <v>936</v>
      </c>
      <c r="M300" t="s">
        <v>936</v>
      </c>
      <c r="N300" t="s">
        <v>937</v>
      </c>
      <c r="O300" s="14">
        <v>10969</v>
      </c>
      <c r="P300" t="s">
        <v>938</v>
      </c>
      <c r="Q300" s="15" t="s">
        <v>848</v>
      </c>
      <c r="R300" s="15" t="s">
        <v>849</v>
      </c>
      <c r="S300" t="s">
        <v>772</v>
      </c>
      <c r="T300" s="9">
        <v>43035</v>
      </c>
      <c r="U300" s="9">
        <v>43038</v>
      </c>
      <c r="V300" s="12">
        <v>203</v>
      </c>
      <c r="W300" s="12">
        <v>45</v>
      </c>
      <c r="X300" s="17">
        <v>0.25</v>
      </c>
      <c r="Y300">
        <v>39.5</v>
      </c>
      <c r="Z300" s="12">
        <v>84.5</v>
      </c>
      <c r="AA300" s="12">
        <v>13.491596638655462</v>
      </c>
      <c r="AB300" s="12">
        <v>73.5</v>
      </c>
      <c r="AF300" s="18">
        <f t="shared" si="4"/>
        <v>0</v>
      </c>
    </row>
    <row r="301" spans="1:32" customFormat="1" x14ac:dyDescent="0.25">
      <c r="A301" t="s">
        <v>18</v>
      </c>
      <c r="B301" t="s">
        <v>61</v>
      </c>
      <c r="C301" t="s">
        <v>774</v>
      </c>
      <c r="D301" s="9">
        <v>43035</v>
      </c>
      <c r="E301" s="9">
        <v>43037</v>
      </c>
      <c r="F301">
        <v>127</v>
      </c>
      <c r="G301" t="s">
        <v>775</v>
      </c>
      <c r="H301">
        <v>30</v>
      </c>
      <c r="I301" t="s">
        <v>776</v>
      </c>
      <c r="J301">
        <v>60011</v>
      </c>
      <c r="K301" t="s">
        <v>18</v>
      </c>
      <c r="L301" t="s">
        <v>61</v>
      </c>
      <c r="M301" t="s">
        <v>61</v>
      </c>
      <c r="N301" t="s">
        <v>934</v>
      </c>
      <c r="O301" s="14">
        <v>10711</v>
      </c>
      <c r="P301" t="s">
        <v>935</v>
      </c>
      <c r="Q301" s="15" t="s">
        <v>848</v>
      </c>
      <c r="R301" s="15" t="s">
        <v>849</v>
      </c>
      <c r="S301" t="s">
        <v>774</v>
      </c>
      <c r="T301" s="9">
        <v>43035</v>
      </c>
      <c r="U301" s="9">
        <v>43037</v>
      </c>
      <c r="V301" s="12">
        <v>127</v>
      </c>
      <c r="W301" s="12">
        <v>30</v>
      </c>
      <c r="X301" s="17">
        <v>0.25</v>
      </c>
      <c r="Y301">
        <v>24.25</v>
      </c>
      <c r="Z301" s="12">
        <v>54.25</v>
      </c>
      <c r="AA301" s="12">
        <v>8.6617647058823533</v>
      </c>
      <c r="AB301" s="12">
        <v>42.75</v>
      </c>
      <c r="AF301" s="18">
        <f t="shared" si="4"/>
        <v>0</v>
      </c>
    </row>
    <row r="302" spans="1:32" customFormat="1" x14ac:dyDescent="0.25">
      <c r="A302" t="s">
        <v>11</v>
      </c>
      <c r="B302" t="s">
        <v>51</v>
      </c>
      <c r="C302" t="s">
        <v>777</v>
      </c>
      <c r="D302" s="9">
        <v>43035</v>
      </c>
      <c r="E302" s="9">
        <v>43037</v>
      </c>
      <c r="F302">
        <v>160</v>
      </c>
      <c r="G302" t="s">
        <v>778</v>
      </c>
      <c r="H302">
        <v>30</v>
      </c>
      <c r="I302" t="s">
        <v>779</v>
      </c>
      <c r="J302">
        <v>10085</v>
      </c>
      <c r="K302" t="s">
        <v>11</v>
      </c>
      <c r="L302" t="s">
        <v>964</v>
      </c>
      <c r="M302" t="s">
        <v>964</v>
      </c>
      <c r="N302" t="s">
        <v>965</v>
      </c>
      <c r="O302" s="14">
        <v>80337</v>
      </c>
      <c r="P302" t="s">
        <v>966</v>
      </c>
      <c r="Q302" s="15" t="s">
        <v>848</v>
      </c>
      <c r="R302" s="15" t="s">
        <v>849</v>
      </c>
      <c r="S302" t="s">
        <v>777</v>
      </c>
      <c r="T302" s="9">
        <v>43035</v>
      </c>
      <c r="U302" s="9">
        <v>43037</v>
      </c>
      <c r="V302" s="12">
        <v>160</v>
      </c>
      <c r="W302" s="12">
        <v>30</v>
      </c>
      <c r="X302" s="17">
        <v>0.25</v>
      </c>
      <c r="Y302">
        <v>32.5</v>
      </c>
      <c r="Z302" s="12">
        <v>62.5</v>
      </c>
      <c r="AA302" s="12">
        <v>9.9789915966386555</v>
      </c>
      <c r="AB302" s="12">
        <v>67.5</v>
      </c>
      <c r="AF302" s="18">
        <f t="shared" si="4"/>
        <v>0</v>
      </c>
    </row>
    <row r="303" spans="1:32" customFormat="1" x14ac:dyDescent="0.25">
      <c r="A303" t="s">
        <v>18</v>
      </c>
      <c r="B303" t="s">
        <v>780</v>
      </c>
      <c r="C303" t="s">
        <v>781</v>
      </c>
      <c r="D303" s="9">
        <v>43035</v>
      </c>
      <c r="E303" s="9">
        <v>43037</v>
      </c>
      <c r="F303">
        <v>121</v>
      </c>
      <c r="G303">
        <v>1</v>
      </c>
      <c r="H303">
        <v>35</v>
      </c>
      <c r="I303" t="s">
        <v>782</v>
      </c>
      <c r="J303">
        <v>60016</v>
      </c>
      <c r="K303" t="s">
        <v>18</v>
      </c>
      <c r="L303" t="s">
        <v>780</v>
      </c>
      <c r="M303" t="s">
        <v>780</v>
      </c>
      <c r="N303" t="s">
        <v>1115</v>
      </c>
      <c r="O303" s="14">
        <v>10555</v>
      </c>
      <c r="P303" t="s">
        <v>1116</v>
      </c>
      <c r="Q303" s="15" t="s">
        <v>848</v>
      </c>
      <c r="R303" s="15" t="s">
        <v>849</v>
      </c>
      <c r="S303" t="s">
        <v>781</v>
      </c>
      <c r="T303" s="9">
        <v>43035</v>
      </c>
      <c r="U303" s="9">
        <v>43037</v>
      </c>
      <c r="V303" s="12">
        <v>121</v>
      </c>
      <c r="W303" s="12">
        <v>35</v>
      </c>
      <c r="X303" s="17">
        <v>0.25</v>
      </c>
      <c r="Y303">
        <v>21.5</v>
      </c>
      <c r="Z303" s="12">
        <v>56.5</v>
      </c>
      <c r="AA303" s="12">
        <v>9.0210084033613445</v>
      </c>
      <c r="AB303" s="12">
        <v>29.5</v>
      </c>
      <c r="AF303" s="18">
        <f t="shared" si="4"/>
        <v>0</v>
      </c>
    </row>
    <row r="304" spans="1:32" customFormat="1" x14ac:dyDescent="0.25">
      <c r="A304" t="s">
        <v>12</v>
      </c>
      <c r="B304" t="s">
        <v>48</v>
      </c>
      <c r="C304" t="s">
        <v>783</v>
      </c>
      <c r="D304" s="9">
        <v>43035</v>
      </c>
      <c r="E304" s="9">
        <v>43038</v>
      </c>
      <c r="F304">
        <v>230</v>
      </c>
      <c r="G304" t="s">
        <v>657</v>
      </c>
      <c r="H304">
        <v>35</v>
      </c>
      <c r="I304" t="s">
        <v>784</v>
      </c>
      <c r="J304">
        <v>50022</v>
      </c>
      <c r="K304" t="s">
        <v>12</v>
      </c>
      <c r="L304" t="s">
        <v>48</v>
      </c>
      <c r="M304" t="s">
        <v>48</v>
      </c>
      <c r="N304" t="s">
        <v>930</v>
      </c>
      <c r="O304" s="14">
        <v>22767</v>
      </c>
      <c r="P304" t="s">
        <v>931</v>
      </c>
      <c r="Q304" s="15" t="s">
        <v>848</v>
      </c>
      <c r="R304" s="15" t="s">
        <v>849</v>
      </c>
      <c r="S304" t="s">
        <v>783</v>
      </c>
      <c r="T304" s="9">
        <v>43035</v>
      </c>
      <c r="U304" s="9">
        <v>43038</v>
      </c>
      <c r="V304" s="12">
        <v>230</v>
      </c>
      <c r="W304" s="12">
        <v>35</v>
      </c>
      <c r="X304" s="17">
        <v>0.25</v>
      </c>
      <c r="Y304">
        <v>48.75</v>
      </c>
      <c r="Z304" s="12">
        <v>83.75</v>
      </c>
      <c r="AA304" s="12">
        <v>13.3718487394958</v>
      </c>
      <c r="AB304" s="12">
        <v>111.25</v>
      </c>
      <c r="AF304" s="18">
        <f t="shared" si="4"/>
        <v>0</v>
      </c>
    </row>
    <row r="305" spans="1:32" customFormat="1" x14ac:dyDescent="0.25">
      <c r="A305" t="s">
        <v>11</v>
      </c>
      <c r="B305" t="s">
        <v>424</v>
      </c>
      <c r="C305" t="s">
        <v>785</v>
      </c>
      <c r="D305" s="9">
        <v>43035</v>
      </c>
      <c r="E305" s="9">
        <v>43038</v>
      </c>
      <c r="F305">
        <v>267</v>
      </c>
      <c r="G305" t="s">
        <v>786</v>
      </c>
      <c r="H305">
        <v>35</v>
      </c>
      <c r="I305" t="s">
        <v>787</v>
      </c>
      <c r="J305">
        <v>10107</v>
      </c>
      <c r="K305" t="s">
        <v>11</v>
      </c>
      <c r="L305" t="s">
        <v>424</v>
      </c>
      <c r="M305" t="s">
        <v>424</v>
      </c>
      <c r="N305" t="s">
        <v>1056</v>
      </c>
      <c r="O305" s="14">
        <v>81677</v>
      </c>
      <c r="P305" t="s">
        <v>1057</v>
      </c>
      <c r="Q305" s="15" t="s">
        <v>848</v>
      </c>
      <c r="R305" s="15" t="s">
        <v>849</v>
      </c>
      <c r="S305" t="s">
        <v>785</v>
      </c>
      <c r="T305" s="9">
        <v>43035</v>
      </c>
      <c r="U305" s="9">
        <v>43038</v>
      </c>
      <c r="V305" s="12">
        <v>267</v>
      </c>
      <c r="W305" s="12">
        <v>35</v>
      </c>
      <c r="X305" s="17">
        <v>0.25</v>
      </c>
      <c r="Y305">
        <v>58</v>
      </c>
      <c r="Z305" s="12">
        <v>93</v>
      </c>
      <c r="AA305" s="12">
        <v>14.84873949579832</v>
      </c>
      <c r="AB305" s="12">
        <v>139</v>
      </c>
      <c r="AF305" s="18">
        <f t="shared" si="4"/>
        <v>0</v>
      </c>
    </row>
    <row r="306" spans="1:32" customFormat="1" x14ac:dyDescent="0.25">
      <c r="A306" t="s">
        <v>15</v>
      </c>
      <c r="B306" t="s">
        <v>361</v>
      </c>
      <c r="C306" t="s">
        <v>788</v>
      </c>
      <c r="D306" s="9">
        <v>43035</v>
      </c>
      <c r="E306" s="9">
        <v>43037</v>
      </c>
      <c r="F306">
        <v>156</v>
      </c>
      <c r="G306">
        <v>1</v>
      </c>
      <c r="H306">
        <v>35</v>
      </c>
      <c r="I306" t="s">
        <v>789</v>
      </c>
      <c r="J306">
        <v>30035</v>
      </c>
      <c r="K306" t="s">
        <v>15</v>
      </c>
      <c r="L306" t="s">
        <v>1036</v>
      </c>
      <c r="M306" t="s">
        <v>1037</v>
      </c>
      <c r="N306" t="s">
        <v>1038</v>
      </c>
      <c r="O306" s="14">
        <v>40213</v>
      </c>
      <c r="P306" t="s">
        <v>1039</v>
      </c>
      <c r="Q306" s="15" t="s">
        <v>848</v>
      </c>
      <c r="R306" s="15" t="s">
        <v>849</v>
      </c>
      <c r="S306" t="s">
        <v>788</v>
      </c>
      <c r="T306" s="9">
        <v>43035</v>
      </c>
      <c r="U306" s="9">
        <v>43037</v>
      </c>
      <c r="V306" s="12">
        <v>156</v>
      </c>
      <c r="W306" s="12">
        <v>35</v>
      </c>
      <c r="X306" s="17">
        <v>0.25</v>
      </c>
      <c r="Y306">
        <v>30.25</v>
      </c>
      <c r="Z306" s="12">
        <v>65.25</v>
      </c>
      <c r="AA306" s="12">
        <v>10.418067226890757</v>
      </c>
      <c r="AB306" s="12">
        <v>55.75</v>
      </c>
      <c r="AF306" s="18">
        <f t="shared" si="4"/>
        <v>0</v>
      </c>
    </row>
    <row r="307" spans="1:32" customFormat="1" x14ac:dyDescent="0.25">
      <c r="A307" t="s">
        <v>12</v>
      </c>
      <c r="B307" t="s">
        <v>790</v>
      </c>
      <c r="C307" t="s">
        <v>714</v>
      </c>
      <c r="D307" s="9">
        <v>43035</v>
      </c>
      <c r="E307" s="9">
        <v>43037</v>
      </c>
      <c r="G307">
        <v>179</v>
      </c>
      <c r="H307">
        <v>45</v>
      </c>
      <c r="I307" t="s">
        <v>791</v>
      </c>
      <c r="J307">
        <v>50042</v>
      </c>
      <c r="K307" t="s">
        <v>12</v>
      </c>
      <c r="L307" t="s">
        <v>790</v>
      </c>
      <c r="M307" t="s">
        <v>790</v>
      </c>
      <c r="N307" t="s">
        <v>1117</v>
      </c>
      <c r="O307" s="14">
        <v>70563</v>
      </c>
      <c r="P307" t="s">
        <v>1118</v>
      </c>
      <c r="Q307" s="15" t="s">
        <v>848</v>
      </c>
      <c r="R307" s="15" t="s">
        <v>849</v>
      </c>
      <c r="S307" t="s">
        <v>714</v>
      </c>
      <c r="T307" s="9">
        <v>43035</v>
      </c>
      <c r="U307" s="9">
        <v>43037</v>
      </c>
      <c r="V307" s="12">
        <v>0</v>
      </c>
      <c r="W307" s="12">
        <v>45</v>
      </c>
      <c r="X307" s="17">
        <v>0.25</v>
      </c>
      <c r="Y307">
        <v>-11.25</v>
      </c>
      <c r="Z307" s="12">
        <v>33.75</v>
      </c>
      <c r="AA307" s="12">
        <v>5.3886554621848735</v>
      </c>
      <c r="AB307" s="12">
        <v>-78.75</v>
      </c>
      <c r="AF307" s="18">
        <f t="shared" si="4"/>
        <v>0</v>
      </c>
    </row>
    <row r="308" spans="1:32" customFormat="1" x14ac:dyDescent="0.25">
      <c r="A308" t="s">
        <v>11</v>
      </c>
      <c r="B308" t="s">
        <v>113</v>
      </c>
      <c r="C308" t="s">
        <v>792</v>
      </c>
      <c r="D308" s="9">
        <v>43035</v>
      </c>
      <c r="E308" s="9">
        <v>43038</v>
      </c>
      <c r="F308">
        <v>350</v>
      </c>
      <c r="G308" t="s">
        <v>793</v>
      </c>
      <c r="H308">
        <v>65</v>
      </c>
      <c r="I308" t="s">
        <v>794</v>
      </c>
      <c r="J308">
        <v>10101</v>
      </c>
      <c r="K308" t="s">
        <v>11</v>
      </c>
      <c r="L308" t="s">
        <v>856</v>
      </c>
      <c r="M308" t="s">
        <v>856</v>
      </c>
      <c r="N308" t="s">
        <v>857</v>
      </c>
      <c r="O308" s="14" t="s">
        <v>858</v>
      </c>
      <c r="P308" t="s">
        <v>859</v>
      </c>
      <c r="Q308" s="15" t="s">
        <v>848</v>
      </c>
      <c r="R308" s="15" t="s">
        <v>849</v>
      </c>
      <c r="S308" t="s">
        <v>792</v>
      </c>
      <c r="T308" s="9">
        <v>43035</v>
      </c>
      <c r="U308" s="9">
        <v>43038</v>
      </c>
      <c r="V308" s="12">
        <v>350</v>
      </c>
      <c r="W308" s="12">
        <v>65</v>
      </c>
      <c r="X308" s="17">
        <v>0.25</v>
      </c>
      <c r="Y308">
        <v>71.25</v>
      </c>
      <c r="Z308" s="12">
        <v>136.25</v>
      </c>
      <c r="AA308" s="12">
        <v>21.754201680672267</v>
      </c>
      <c r="AB308" s="12">
        <v>148.75</v>
      </c>
      <c r="AF308" s="18">
        <f t="shared" si="4"/>
        <v>0</v>
      </c>
    </row>
    <row r="309" spans="1:32" customFormat="1" x14ac:dyDescent="0.25">
      <c r="A309" t="s">
        <v>12</v>
      </c>
      <c r="B309" t="s">
        <v>795</v>
      </c>
      <c r="C309" t="s">
        <v>796</v>
      </c>
      <c r="D309" s="9">
        <v>43035</v>
      </c>
      <c r="E309" s="9">
        <v>43037</v>
      </c>
      <c r="F309">
        <v>228</v>
      </c>
      <c r="H309">
        <v>30</v>
      </c>
      <c r="I309" t="s">
        <v>797</v>
      </c>
      <c r="J309">
        <v>50032</v>
      </c>
      <c r="K309" t="s">
        <v>12</v>
      </c>
      <c r="L309" t="s">
        <v>1119</v>
      </c>
      <c r="M309" t="s">
        <v>1119</v>
      </c>
      <c r="N309" t="s">
        <v>1120</v>
      </c>
      <c r="O309" s="14">
        <v>22119</v>
      </c>
      <c r="P309" t="s">
        <v>1121</v>
      </c>
      <c r="Q309" s="15" t="s">
        <v>848</v>
      </c>
      <c r="R309" s="15" t="s">
        <v>849</v>
      </c>
      <c r="S309" t="s">
        <v>796</v>
      </c>
      <c r="T309" s="9">
        <v>43035</v>
      </c>
      <c r="U309" s="9">
        <v>43037</v>
      </c>
      <c r="V309" s="12">
        <v>228</v>
      </c>
      <c r="W309" s="12">
        <v>30</v>
      </c>
      <c r="X309" s="17">
        <v>0.25</v>
      </c>
      <c r="Y309">
        <v>49.5</v>
      </c>
      <c r="Z309" s="12">
        <v>79.5</v>
      </c>
      <c r="AA309" s="12">
        <v>12.693277310924369</v>
      </c>
      <c r="AB309" s="12">
        <v>118.5</v>
      </c>
      <c r="AF309" s="18">
        <f t="shared" si="4"/>
        <v>0</v>
      </c>
    </row>
    <row r="310" spans="1:32" customFormat="1" x14ac:dyDescent="0.25">
      <c r="A310" t="s">
        <v>15</v>
      </c>
      <c r="B310" t="s">
        <v>73</v>
      </c>
      <c r="C310" t="s">
        <v>798</v>
      </c>
      <c r="D310" s="9">
        <v>43035</v>
      </c>
      <c r="E310" s="9">
        <v>43037</v>
      </c>
      <c r="F310">
        <v>342</v>
      </c>
      <c r="G310" t="s">
        <v>766</v>
      </c>
      <c r="H310">
        <v>65</v>
      </c>
      <c r="I310" t="s">
        <v>799</v>
      </c>
      <c r="J310">
        <v>30015</v>
      </c>
      <c r="K310" t="s">
        <v>15</v>
      </c>
      <c r="L310" t="s">
        <v>73</v>
      </c>
      <c r="M310" t="s">
        <v>73</v>
      </c>
      <c r="N310" t="s">
        <v>1020</v>
      </c>
      <c r="O310" s="14">
        <v>40233</v>
      </c>
      <c r="P310" t="s">
        <v>1021</v>
      </c>
      <c r="Q310" s="15" t="s">
        <v>848</v>
      </c>
      <c r="R310" s="15" t="s">
        <v>849</v>
      </c>
      <c r="S310" t="s">
        <v>798</v>
      </c>
      <c r="T310" s="9">
        <v>43035</v>
      </c>
      <c r="U310" s="9">
        <v>43037</v>
      </c>
      <c r="V310" s="12">
        <v>342</v>
      </c>
      <c r="W310" s="12">
        <v>65</v>
      </c>
      <c r="X310" s="17">
        <v>0.25</v>
      </c>
      <c r="Y310">
        <v>69.25</v>
      </c>
      <c r="Z310" s="12">
        <v>134.25</v>
      </c>
      <c r="AA310" s="12">
        <v>21.434873949579831</v>
      </c>
      <c r="AB310" s="12">
        <v>142.75</v>
      </c>
      <c r="AF310" s="18">
        <f t="shared" si="4"/>
        <v>0</v>
      </c>
    </row>
    <row r="311" spans="1:32" customFormat="1" x14ac:dyDescent="0.25">
      <c r="A311" t="s">
        <v>38</v>
      </c>
      <c r="B311" t="s">
        <v>39</v>
      </c>
      <c r="C311" t="s">
        <v>800</v>
      </c>
      <c r="D311" s="9">
        <v>43035</v>
      </c>
      <c r="E311" s="9">
        <v>43037</v>
      </c>
      <c r="F311">
        <v>485</v>
      </c>
      <c r="H311">
        <v>40</v>
      </c>
      <c r="I311" t="s">
        <v>801</v>
      </c>
      <c r="J311">
        <v>40010</v>
      </c>
      <c r="K311" t="s">
        <v>38</v>
      </c>
      <c r="L311" t="s">
        <v>879</v>
      </c>
      <c r="M311" t="s">
        <v>880</v>
      </c>
      <c r="N311" t="s">
        <v>881</v>
      </c>
      <c r="O311" s="14">
        <v>50670</v>
      </c>
      <c r="P311" t="s">
        <v>882</v>
      </c>
      <c r="Q311" s="15" t="s">
        <v>849</v>
      </c>
      <c r="R311" s="15" t="s">
        <v>848</v>
      </c>
      <c r="S311" t="s">
        <v>800</v>
      </c>
      <c r="T311" s="9">
        <v>43035</v>
      </c>
      <c r="U311" s="9">
        <v>43037</v>
      </c>
      <c r="V311" s="12">
        <v>485</v>
      </c>
      <c r="W311" s="12">
        <v>40</v>
      </c>
      <c r="X311" s="17">
        <v>0.2</v>
      </c>
      <c r="Y311">
        <v>89</v>
      </c>
      <c r="Z311" s="12">
        <v>129</v>
      </c>
      <c r="AA311" s="12">
        <v>20.596638655462183</v>
      </c>
      <c r="AB311" s="12">
        <v>316</v>
      </c>
      <c r="AF311" s="18">
        <f t="shared" si="4"/>
        <v>0</v>
      </c>
    </row>
    <row r="312" spans="1:32" customFormat="1" x14ac:dyDescent="0.25">
      <c r="A312" t="s">
        <v>38</v>
      </c>
      <c r="B312" t="s">
        <v>53</v>
      </c>
      <c r="C312" t="s">
        <v>802</v>
      </c>
      <c r="D312" s="9">
        <v>43035</v>
      </c>
      <c r="E312" s="9">
        <v>43038</v>
      </c>
      <c r="F312">
        <v>173</v>
      </c>
      <c r="G312" t="s">
        <v>803</v>
      </c>
      <c r="H312">
        <v>35</v>
      </c>
      <c r="I312" t="s">
        <v>804</v>
      </c>
      <c r="J312">
        <v>40023</v>
      </c>
      <c r="K312" t="s">
        <v>38</v>
      </c>
      <c r="L312" t="s">
        <v>1016</v>
      </c>
      <c r="M312" t="s">
        <v>1016</v>
      </c>
      <c r="N312" t="s">
        <v>1017</v>
      </c>
      <c r="O312" s="14" t="s">
        <v>1018</v>
      </c>
      <c r="P312" t="s">
        <v>1019</v>
      </c>
      <c r="Q312" s="15" t="s">
        <v>848</v>
      </c>
      <c r="R312" s="15" t="s">
        <v>849</v>
      </c>
      <c r="S312" t="s">
        <v>802</v>
      </c>
      <c r="T312" s="9">
        <v>43035</v>
      </c>
      <c r="U312" s="9">
        <v>43038</v>
      </c>
      <c r="V312" s="12">
        <v>173</v>
      </c>
      <c r="W312" s="12">
        <v>35</v>
      </c>
      <c r="X312" s="17">
        <v>0.2</v>
      </c>
      <c r="Y312">
        <v>27.6</v>
      </c>
      <c r="Z312" s="12">
        <v>62.6</v>
      </c>
      <c r="AA312" s="12">
        <v>9.9949579831932773</v>
      </c>
      <c r="AB312" s="12">
        <v>75.400000000000006</v>
      </c>
      <c r="AF312" s="18">
        <f t="shared" si="4"/>
        <v>0</v>
      </c>
    </row>
    <row r="313" spans="1:32" customFormat="1" x14ac:dyDescent="0.25">
      <c r="A313" t="s">
        <v>11</v>
      </c>
      <c r="B313" t="s">
        <v>24</v>
      </c>
      <c r="C313" t="s">
        <v>805</v>
      </c>
      <c r="D313" s="9">
        <v>43035</v>
      </c>
      <c r="E313" s="9">
        <v>43037</v>
      </c>
      <c r="F313">
        <v>192</v>
      </c>
      <c r="G313" t="s">
        <v>806</v>
      </c>
      <c r="H313">
        <v>35</v>
      </c>
      <c r="I313" t="s">
        <v>807</v>
      </c>
      <c r="J313">
        <v>10081</v>
      </c>
      <c r="K313" t="s">
        <v>11</v>
      </c>
      <c r="L313" t="s">
        <v>24</v>
      </c>
      <c r="M313" t="s">
        <v>24</v>
      </c>
      <c r="N313" t="s">
        <v>877</v>
      </c>
      <c r="O313" s="14">
        <v>80331</v>
      </c>
      <c r="P313" t="s">
        <v>878</v>
      </c>
      <c r="Q313" s="15" t="s">
        <v>849</v>
      </c>
      <c r="R313" s="15" t="s">
        <v>848</v>
      </c>
      <c r="S313" t="s">
        <v>805</v>
      </c>
      <c r="T313" s="9">
        <v>43035</v>
      </c>
      <c r="U313" s="9">
        <v>43037</v>
      </c>
      <c r="V313" s="12">
        <v>192</v>
      </c>
      <c r="W313" s="12">
        <v>35</v>
      </c>
      <c r="X313" s="17">
        <v>0.25</v>
      </c>
      <c r="Y313">
        <v>39.25</v>
      </c>
      <c r="Z313" s="12">
        <v>74.25</v>
      </c>
      <c r="AA313" s="12">
        <v>11.855042016806722</v>
      </c>
      <c r="AB313" s="12">
        <v>82.75</v>
      </c>
      <c r="AF313" s="18">
        <f t="shared" si="4"/>
        <v>0</v>
      </c>
    </row>
    <row r="314" spans="1:32" customFormat="1" x14ac:dyDescent="0.25">
      <c r="A314" t="s">
        <v>18</v>
      </c>
      <c r="B314" t="s">
        <v>177</v>
      </c>
      <c r="C314" t="s">
        <v>808</v>
      </c>
      <c r="D314" s="9">
        <v>43035</v>
      </c>
      <c r="E314" s="9">
        <v>43037</v>
      </c>
      <c r="F314">
        <v>147</v>
      </c>
      <c r="H314">
        <v>50</v>
      </c>
      <c r="I314" t="s">
        <v>809</v>
      </c>
      <c r="J314">
        <v>60032</v>
      </c>
      <c r="K314" t="s">
        <v>18</v>
      </c>
      <c r="L314" t="s">
        <v>924</v>
      </c>
      <c r="M314" t="s">
        <v>924</v>
      </c>
      <c r="N314" t="s">
        <v>925</v>
      </c>
      <c r="O314" s="14">
        <v>10405</v>
      </c>
      <c r="P314" t="s">
        <v>926</v>
      </c>
      <c r="Q314" s="15" t="s">
        <v>848</v>
      </c>
      <c r="R314" s="15" t="s">
        <v>849</v>
      </c>
      <c r="S314" t="s">
        <v>808</v>
      </c>
      <c r="T314" s="9">
        <v>43035</v>
      </c>
      <c r="U314" s="9">
        <v>43037</v>
      </c>
      <c r="V314" s="12">
        <v>147</v>
      </c>
      <c r="W314" s="12">
        <v>50</v>
      </c>
      <c r="X314" s="17">
        <v>0.25</v>
      </c>
      <c r="Y314">
        <v>24.25</v>
      </c>
      <c r="Z314" s="12">
        <v>74.25</v>
      </c>
      <c r="AA314" s="12">
        <v>11.855042016806722</v>
      </c>
      <c r="AB314" s="12">
        <v>22.75</v>
      </c>
      <c r="AF314" s="18">
        <f t="shared" si="4"/>
        <v>0</v>
      </c>
    </row>
    <row r="315" spans="1:32" customFormat="1" x14ac:dyDescent="0.25">
      <c r="A315" t="s">
        <v>18</v>
      </c>
      <c r="B315" t="s">
        <v>209</v>
      </c>
      <c r="C315" t="s">
        <v>810</v>
      </c>
      <c r="D315" s="9">
        <v>43036</v>
      </c>
      <c r="E315" s="9">
        <v>43039</v>
      </c>
      <c r="F315">
        <v>374</v>
      </c>
      <c r="G315" t="s">
        <v>811</v>
      </c>
      <c r="H315">
        <v>40</v>
      </c>
      <c r="I315" t="s">
        <v>812</v>
      </c>
      <c r="J315">
        <v>60008</v>
      </c>
      <c r="K315" t="s">
        <v>18</v>
      </c>
      <c r="L315" t="s">
        <v>956</v>
      </c>
      <c r="M315" t="s">
        <v>956</v>
      </c>
      <c r="N315" t="s">
        <v>957</v>
      </c>
      <c r="O315" s="14">
        <v>10317</v>
      </c>
      <c r="P315" t="s">
        <v>958</v>
      </c>
      <c r="Q315" s="15" t="s">
        <v>848</v>
      </c>
      <c r="R315" s="15" t="s">
        <v>849</v>
      </c>
      <c r="S315" t="s">
        <v>810</v>
      </c>
      <c r="T315" s="9">
        <v>43036</v>
      </c>
      <c r="U315" s="9">
        <v>43039</v>
      </c>
      <c r="V315" s="12">
        <v>374</v>
      </c>
      <c r="W315" s="12">
        <v>40</v>
      </c>
      <c r="X315" s="17">
        <v>0.25</v>
      </c>
      <c r="Y315">
        <v>83.5</v>
      </c>
      <c r="Z315" s="12">
        <v>123.5</v>
      </c>
      <c r="AA315" s="12">
        <v>19.718487394957986</v>
      </c>
      <c r="AB315" s="12">
        <v>210.5</v>
      </c>
      <c r="AF315" s="18">
        <f t="shared" si="4"/>
        <v>0</v>
      </c>
    </row>
    <row r="316" spans="1:32" customFormat="1" x14ac:dyDescent="0.25">
      <c r="A316" t="s">
        <v>12</v>
      </c>
      <c r="B316" t="s">
        <v>202</v>
      </c>
      <c r="C316" t="s">
        <v>813</v>
      </c>
      <c r="D316" s="9">
        <v>43036</v>
      </c>
      <c r="E316" s="9">
        <v>43039</v>
      </c>
      <c r="F316">
        <v>314</v>
      </c>
      <c r="G316" t="s">
        <v>687</v>
      </c>
      <c r="H316">
        <v>50</v>
      </c>
      <c r="I316" t="s">
        <v>814</v>
      </c>
      <c r="J316">
        <v>50039</v>
      </c>
      <c r="K316" t="s">
        <v>12</v>
      </c>
      <c r="L316" t="s">
        <v>953</v>
      </c>
      <c r="M316" t="s">
        <v>953</v>
      </c>
      <c r="N316" t="s">
        <v>954</v>
      </c>
      <c r="O316" s="14">
        <v>24837</v>
      </c>
      <c r="P316" t="s">
        <v>955</v>
      </c>
      <c r="Q316" s="15" t="s">
        <v>848</v>
      </c>
      <c r="R316" s="15" t="s">
        <v>849</v>
      </c>
      <c r="S316" t="s">
        <v>813</v>
      </c>
      <c r="T316" s="9">
        <v>43036</v>
      </c>
      <c r="U316" s="9">
        <v>43039</v>
      </c>
      <c r="V316" s="12">
        <v>314</v>
      </c>
      <c r="W316" s="12">
        <v>50</v>
      </c>
      <c r="X316" s="17">
        <v>0.25</v>
      </c>
      <c r="Y316">
        <v>66</v>
      </c>
      <c r="Z316" s="12">
        <v>116</v>
      </c>
      <c r="AA316" s="12">
        <v>18.521008403361343</v>
      </c>
      <c r="AB316" s="12">
        <v>148</v>
      </c>
      <c r="AF316" s="18">
        <f t="shared" si="4"/>
        <v>0</v>
      </c>
    </row>
    <row r="317" spans="1:32" customFormat="1" x14ac:dyDescent="0.25">
      <c r="A317" t="s">
        <v>9</v>
      </c>
      <c r="B317" t="s">
        <v>28</v>
      </c>
      <c r="C317" t="s">
        <v>815</v>
      </c>
      <c r="D317" s="9">
        <v>43036</v>
      </c>
      <c r="E317" s="9">
        <v>43038</v>
      </c>
      <c r="F317">
        <v>191</v>
      </c>
      <c r="G317" t="s">
        <v>816</v>
      </c>
      <c r="H317">
        <v>30</v>
      </c>
      <c r="I317" t="s">
        <v>817</v>
      </c>
      <c r="J317">
        <v>20028</v>
      </c>
      <c r="K317" t="s">
        <v>9</v>
      </c>
      <c r="L317" t="s">
        <v>28</v>
      </c>
      <c r="M317" t="s">
        <v>28</v>
      </c>
      <c r="N317" t="s">
        <v>895</v>
      </c>
      <c r="O317" s="14">
        <v>60313</v>
      </c>
      <c r="P317" t="s">
        <v>896</v>
      </c>
      <c r="Q317" s="15" t="s">
        <v>848</v>
      </c>
      <c r="R317" s="15" t="s">
        <v>849</v>
      </c>
      <c r="S317" t="s">
        <v>815</v>
      </c>
      <c r="T317" s="9">
        <v>43036</v>
      </c>
      <c r="U317" s="9">
        <v>43038</v>
      </c>
      <c r="V317" s="12">
        <v>191</v>
      </c>
      <c r="W317" s="12">
        <v>30</v>
      </c>
      <c r="X317" s="17">
        <v>0.25</v>
      </c>
      <c r="Y317">
        <v>40.25</v>
      </c>
      <c r="Z317" s="12">
        <v>70.25</v>
      </c>
      <c r="AA317" s="12">
        <v>11.216386554621849</v>
      </c>
      <c r="AB317" s="12">
        <v>90.75</v>
      </c>
      <c r="AF317" s="18">
        <f t="shared" si="4"/>
        <v>0</v>
      </c>
    </row>
    <row r="318" spans="1:32" customFormat="1" x14ac:dyDescent="0.25">
      <c r="A318" t="s">
        <v>38</v>
      </c>
      <c r="B318" t="s">
        <v>44</v>
      </c>
      <c r="C318" t="s">
        <v>818</v>
      </c>
      <c r="D318" s="9">
        <v>43036</v>
      </c>
      <c r="E318" s="9">
        <v>43039</v>
      </c>
      <c r="F318">
        <v>217</v>
      </c>
      <c r="G318" t="s">
        <v>819</v>
      </c>
      <c r="H318">
        <v>35</v>
      </c>
      <c r="I318" t="s">
        <v>820</v>
      </c>
      <c r="J318">
        <v>40014</v>
      </c>
      <c r="K318" t="s">
        <v>38</v>
      </c>
      <c r="L318" t="s">
        <v>44</v>
      </c>
      <c r="M318" t="s">
        <v>44</v>
      </c>
      <c r="N318" t="s">
        <v>912</v>
      </c>
      <c r="O318" s="14">
        <v>50672</v>
      </c>
      <c r="P318" t="s">
        <v>913</v>
      </c>
      <c r="Q318" s="15" t="s">
        <v>848</v>
      </c>
      <c r="R318" s="15" t="s">
        <v>849</v>
      </c>
      <c r="S318" t="s">
        <v>818</v>
      </c>
      <c r="T318" s="9">
        <v>43036</v>
      </c>
      <c r="U318" s="9">
        <v>43039</v>
      </c>
      <c r="V318" s="12">
        <v>217</v>
      </c>
      <c r="W318" s="12">
        <v>35</v>
      </c>
      <c r="X318" s="17">
        <v>0.2</v>
      </c>
      <c r="Y318">
        <v>36.4</v>
      </c>
      <c r="Z318" s="12">
        <v>71.400000000000006</v>
      </c>
      <c r="AA318" s="12">
        <v>11.400000000000002</v>
      </c>
      <c r="AB318" s="12">
        <v>110.6</v>
      </c>
      <c r="AF318" s="18">
        <f t="shared" si="4"/>
        <v>0</v>
      </c>
    </row>
    <row r="319" spans="1:32" customFormat="1" x14ac:dyDescent="0.25">
      <c r="A319" t="s">
        <v>11</v>
      </c>
      <c r="B319" t="s">
        <v>56</v>
      </c>
      <c r="C319" t="s">
        <v>821</v>
      </c>
      <c r="D319" s="9">
        <v>43036</v>
      </c>
      <c r="E319" s="9">
        <v>43039</v>
      </c>
      <c r="F319">
        <v>271</v>
      </c>
      <c r="G319" t="s">
        <v>822</v>
      </c>
      <c r="H319">
        <v>35</v>
      </c>
      <c r="I319" t="s">
        <v>823</v>
      </c>
      <c r="J319">
        <v>10076</v>
      </c>
      <c r="K319" t="s">
        <v>11</v>
      </c>
      <c r="L319" t="s">
        <v>56</v>
      </c>
      <c r="M319" t="s">
        <v>56</v>
      </c>
      <c r="N319" t="s">
        <v>1085</v>
      </c>
      <c r="O319" s="14" t="s">
        <v>1086</v>
      </c>
      <c r="P319" t="s">
        <v>1087</v>
      </c>
      <c r="Q319" s="15" t="s">
        <v>848</v>
      </c>
      <c r="R319" s="15" t="s">
        <v>849</v>
      </c>
      <c r="S319" t="s">
        <v>821</v>
      </c>
      <c r="T319" s="9">
        <v>43036</v>
      </c>
      <c r="U319" s="9">
        <v>43039</v>
      </c>
      <c r="V319" s="12">
        <v>271</v>
      </c>
      <c r="W319" s="12">
        <v>35</v>
      </c>
      <c r="X319" s="17">
        <v>0.25</v>
      </c>
      <c r="Y319">
        <v>59</v>
      </c>
      <c r="Z319" s="12">
        <v>94</v>
      </c>
      <c r="AA319" s="12">
        <v>15.008403361344538</v>
      </c>
      <c r="AB319" s="12">
        <v>142</v>
      </c>
      <c r="AF319" s="18">
        <f t="shared" si="4"/>
        <v>0</v>
      </c>
    </row>
    <row r="320" spans="1:32" customFormat="1" x14ac:dyDescent="0.25">
      <c r="A320" t="s">
        <v>11</v>
      </c>
      <c r="B320" t="s">
        <v>168</v>
      </c>
      <c r="C320" t="s">
        <v>824</v>
      </c>
      <c r="D320" s="9">
        <v>43036</v>
      </c>
      <c r="E320" s="9">
        <v>43039</v>
      </c>
      <c r="F320">
        <v>194</v>
      </c>
      <c r="G320" t="s">
        <v>825</v>
      </c>
      <c r="H320">
        <v>35</v>
      </c>
      <c r="I320" t="s">
        <v>826</v>
      </c>
      <c r="J320">
        <v>10090</v>
      </c>
      <c r="K320" t="s">
        <v>11</v>
      </c>
      <c r="L320" t="s">
        <v>168</v>
      </c>
      <c r="M320" t="s">
        <v>168</v>
      </c>
      <c r="N320" t="s">
        <v>916</v>
      </c>
      <c r="O320" s="14">
        <v>81927</v>
      </c>
      <c r="P320" t="s">
        <v>917</v>
      </c>
      <c r="Q320" s="15" t="s">
        <v>848</v>
      </c>
      <c r="R320" s="15" t="s">
        <v>849</v>
      </c>
      <c r="S320" t="s">
        <v>824</v>
      </c>
      <c r="T320" s="9">
        <v>43036</v>
      </c>
      <c r="U320" s="9">
        <v>43039</v>
      </c>
      <c r="V320" s="12">
        <v>194</v>
      </c>
      <c r="W320" s="12">
        <v>35</v>
      </c>
      <c r="X320" s="17">
        <v>0.2</v>
      </c>
      <c r="Y320">
        <v>31.8</v>
      </c>
      <c r="Z320" s="12">
        <v>66.8</v>
      </c>
      <c r="AA320" s="12">
        <v>10.665546218487394</v>
      </c>
      <c r="AB320" s="12">
        <v>92.2</v>
      </c>
      <c r="AF320" s="18">
        <f t="shared" si="4"/>
        <v>0</v>
      </c>
    </row>
    <row r="321" spans="1:36" customFormat="1" x14ac:dyDescent="0.25">
      <c r="A321" t="s">
        <v>12</v>
      </c>
      <c r="B321" t="s">
        <v>36</v>
      </c>
      <c r="C321" t="s">
        <v>827</v>
      </c>
      <c r="D321" s="9">
        <v>43036</v>
      </c>
      <c r="E321" s="9">
        <v>43038</v>
      </c>
      <c r="F321">
        <v>253</v>
      </c>
      <c r="G321" t="s">
        <v>828</v>
      </c>
      <c r="H321">
        <v>35</v>
      </c>
      <c r="I321" t="s">
        <v>829</v>
      </c>
      <c r="J321">
        <v>50034</v>
      </c>
      <c r="K321" t="s">
        <v>12</v>
      </c>
      <c r="L321" t="s">
        <v>36</v>
      </c>
      <c r="M321" t="s">
        <v>36</v>
      </c>
      <c r="N321" t="s">
        <v>976</v>
      </c>
      <c r="O321" s="14">
        <v>22763</v>
      </c>
      <c r="P321" t="s">
        <v>977</v>
      </c>
      <c r="Q321" s="15" t="s">
        <v>848</v>
      </c>
      <c r="R321" s="15" t="s">
        <v>849</v>
      </c>
      <c r="S321" t="s">
        <v>827</v>
      </c>
      <c r="T321" s="9">
        <v>43036</v>
      </c>
      <c r="U321" s="9">
        <v>43038</v>
      </c>
      <c r="V321" s="12">
        <v>253</v>
      </c>
      <c r="W321" s="12">
        <v>35</v>
      </c>
      <c r="X321" s="17">
        <v>0.25</v>
      </c>
      <c r="Y321">
        <v>54.5</v>
      </c>
      <c r="Z321" s="12">
        <v>89.5</v>
      </c>
      <c r="AA321" s="12">
        <v>14.289915966386555</v>
      </c>
      <c r="AB321" s="12">
        <v>128.5</v>
      </c>
      <c r="AF321" s="18">
        <f t="shared" si="4"/>
        <v>0</v>
      </c>
    </row>
    <row r="322" spans="1:36" customFormat="1" x14ac:dyDescent="0.25">
      <c r="A322" t="s">
        <v>38</v>
      </c>
      <c r="B322" t="s">
        <v>559</v>
      </c>
      <c r="C322" t="s">
        <v>830</v>
      </c>
      <c r="D322" s="9">
        <v>43036</v>
      </c>
      <c r="E322" s="9">
        <v>43039</v>
      </c>
      <c r="F322">
        <v>397</v>
      </c>
      <c r="G322" t="s">
        <v>831</v>
      </c>
      <c r="H322">
        <v>50</v>
      </c>
      <c r="I322" t="s">
        <v>832</v>
      </c>
      <c r="J322">
        <v>40005</v>
      </c>
      <c r="K322" t="s">
        <v>38</v>
      </c>
      <c r="L322" t="s">
        <v>1026</v>
      </c>
      <c r="M322" t="s">
        <v>1027</v>
      </c>
      <c r="N322" t="s">
        <v>1028</v>
      </c>
      <c r="O322" s="14">
        <v>50670</v>
      </c>
      <c r="P322" t="s">
        <v>1029</v>
      </c>
      <c r="Q322" s="15" t="s">
        <v>848</v>
      </c>
      <c r="R322" s="15" t="s">
        <v>849</v>
      </c>
      <c r="S322" t="s">
        <v>830</v>
      </c>
      <c r="T322" s="9">
        <v>43036</v>
      </c>
      <c r="U322" s="9">
        <v>43039</v>
      </c>
      <c r="V322" s="12">
        <v>397</v>
      </c>
      <c r="W322" s="12">
        <v>50</v>
      </c>
      <c r="X322" s="17">
        <v>0.2</v>
      </c>
      <c r="Y322">
        <v>69.400000000000006</v>
      </c>
      <c r="Z322" s="12">
        <v>119.4</v>
      </c>
      <c r="AA322" s="12">
        <v>19.063865546218487</v>
      </c>
      <c r="AB322" s="12">
        <v>227.6</v>
      </c>
      <c r="AF322" s="18">
        <f t="shared" si="4"/>
        <v>0</v>
      </c>
    </row>
    <row r="323" spans="1:36" customFormat="1" x14ac:dyDescent="0.25">
      <c r="A323" t="s">
        <v>11</v>
      </c>
      <c r="B323" t="s">
        <v>161</v>
      </c>
      <c r="C323" t="s">
        <v>833</v>
      </c>
      <c r="D323" s="9">
        <v>43036</v>
      </c>
      <c r="E323" s="9">
        <v>43039</v>
      </c>
      <c r="F323">
        <v>220</v>
      </c>
      <c r="G323" t="s">
        <v>741</v>
      </c>
      <c r="H323">
        <v>35</v>
      </c>
      <c r="I323" t="s">
        <v>834</v>
      </c>
      <c r="J323">
        <v>10075</v>
      </c>
      <c r="K323" t="s">
        <v>11</v>
      </c>
      <c r="L323" t="s">
        <v>161</v>
      </c>
      <c r="M323" t="s">
        <v>161</v>
      </c>
      <c r="N323" t="s">
        <v>909</v>
      </c>
      <c r="O323" s="14" t="s">
        <v>910</v>
      </c>
      <c r="P323" t="s">
        <v>911</v>
      </c>
      <c r="Q323" s="15" t="s">
        <v>848</v>
      </c>
      <c r="R323" s="15" t="s">
        <v>849</v>
      </c>
      <c r="S323" t="s">
        <v>833</v>
      </c>
      <c r="T323" s="9">
        <v>43036</v>
      </c>
      <c r="U323" s="9">
        <v>43039</v>
      </c>
      <c r="V323" s="12">
        <v>220</v>
      </c>
      <c r="W323" s="12">
        <v>35</v>
      </c>
      <c r="X323" s="17">
        <v>0.25</v>
      </c>
      <c r="Y323">
        <v>46.25</v>
      </c>
      <c r="Z323" s="12">
        <v>81.25</v>
      </c>
      <c r="AA323" s="12">
        <v>12.972689075630253</v>
      </c>
      <c r="AB323" s="12">
        <v>103.75</v>
      </c>
      <c r="AF323" s="18">
        <f t="shared" ref="AF323:AF333" si="5">AE323/119*19</f>
        <v>0</v>
      </c>
    </row>
    <row r="324" spans="1:36" customFormat="1" x14ac:dyDescent="0.25">
      <c r="A324" t="s">
        <v>15</v>
      </c>
      <c r="B324" t="s">
        <v>577</v>
      </c>
      <c r="C324" t="s">
        <v>835</v>
      </c>
      <c r="D324" s="9">
        <v>43036</v>
      </c>
      <c r="E324" s="9">
        <v>43038</v>
      </c>
      <c r="F324">
        <v>170</v>
      </c>
      <c r="G324" t="s">
        <v>836</v>
      </c>
      <c r="H324">
        <v>35</v>
      </c>
      <c r="I324" t="s">
        <v>837</v>
      </c>
      <c r="J324">
        <v>30034</v>
      </c>
      <c r="K324" t="s">
        <v>15</v>
      </c>
      <c r="L324" t="s">
        <v>577</v>
      </c>
      <c r="M324" t="s">
        <v>1093</v>
      </c>
      <c r="N324" t="s">
        <v>1094</v>
      </c>
      <c r="O324" s="14">
        <v>10405</v>
      </c>
      <c r="P324" t="s">
        <v>1095</v>
      </c>
      <c r="Q324" s="15" t="s">
        <v>848</v>
      </c>
      <c r="R324" s="15" t="s">
        <v>849</v>
      </c>
      <c r="S324" t="s">
        <v>835</v>
      </c>
      <c r="T324" s="9">
        <v>43036</v>
      </c>
      <c r="U324" s="9">
        <v>43038</v>
      </c>
      <c r="V324" s="12">
        <v>170</v>
      </c>
      <c r="W324" s="12">
        <v>35</v>
      </c>
      <c r="X324" s="17">
        <v>0.25</v>
      </c>
      <c r="Y324">
        <v>33.75</v>
      </c>
      <c r="Z324" s="12">
        <v>68.75</v>
      </c>
      <c r="AA324" s="12">
        <v>10.97689075630252</v>
      </c>
      <c r="AB324" s="12">
        <v>66.25</v>
      </c>
      <c r="AF324" s="18">
        <f t="shared" si="5"/>
        <v>0</v>
      </c>
    </row>
    <row r="325" spans="1:36" customFormat="1" x14ac:dyDescent="0.25">
      <c r="A325" t="s">
        <v>11</v>
      </c>
      <c r="B325" t="s">
        <v>58</v>
      </c>
      <c r="C325" t="s">
        <v>838</v>
      </c>
      <c r="D325" s="9">
        <v>43036</v>
      </c>
      <c r="E325" s="9">
        <v>43038</v>
      </c>
      <c r="F325">
        <v>219</v>
      </c>
      <c r="G325" t="s">
        <v>806</v>
      </c>
      <c r="H325">
        <v>50</v>
      </c>
      <c r="I325" t="s">
        <v>839</v>
      </c>
      <c r="J325">
        <v>10043</v>
      </c>
      <c r="K325" t="s">
        <v>11</v>
      </c>
      <c r="L325" t="s">
        <v>973</v>
      </c>
      <c r="M325" t="s">
        <v>973</v>
      </c>
      <c r="N325" t="s">
        <v>974</v>
      </c>
      <c r="O325" s="14">
        <v>80469</v>
      </c>
      <c r="P325" t="s">
        <v>975</v>
      </c>
      <c r="Q325" s="15" t="s">
        <v>849</v>
      </c>
      <c r="R325" s="15" t="s">
        <v>848</v>
      </c>
      <c r="S325" t="s">
        <v>838</v>
      </c>
      <c r="T325" s="9">
        <v>43036</v>
      </c>
      <c r="U325" s="9">
        <v>43038</v>
      </c>
      <c r="V325" s="12">
        <v>219</v>
      </c>
      <c r="W325" s="12">
        <v>50</v>
      </c>
      <c r="X325" s="17">
        <v>0.2</v>
      </c>
      <c r="Y325">
        <v>33.800000000000004</v>
      </c>
      <c r="Z325" s="12">
        <v>83.800000000000011</v>
      </c>
      <c r="AA325" s="12">
        <v>13.37983193277311</v>
      </c>
      <c r="AB325" s="12">
        <v>85.199999999999989</v>
      </c>
      <c r="AF325" s="18">
        <f t="shared" si="5"/>
        <v>0</v>
      </c>
    </row>
    <row r="326" spans="1:36" customFormat="1" x14ac:dyDescent="0.25">
      <c r="A326" t="s">
        <v>11</v>
      </c>
      <c r="B326" t="s">
        <v>40</v>
      </c>
      <c r="C326" t="s">
        <v>840</v>
      </c>
      <c r="D326" s="9">
        <v>43037</v>
      </c>
      <c r="E326" s="9">
        <v>43039</v>
      </c>
      <c r="F326">
        <v>224</v>
      </c>
      <c r="G326" t="s">
        <v>836</v>
      </c>
      <c r="H326">
        <v>35</v>
      </c>
      <c r="I326" t="s">
        <v>841</v>
      </c>
      <c r="J326">
        <v>40005</v>
      </c>
      <c r="K326" t="s">
        <v>11</v>
      </c>
      <c r="L326" t="s">
        <v>1026</v>
      </c>
      <c r="M326" t="s">
        <v>1027</v>
      </c>
      <c r="N326" t="s">
        <v>1028</v>
      </c>
      <c r="O326" s="14">
        <v>50670</v>
      </c>
      <c r="P326" t="s">
        <v>1029</v>
      </c>
      <c r="Q326" s="15" t="s">
        <v>848</v>
      </c>
      <c r="R326" s="15" t="s">
        <v>849</v>
      </c>
      <c r="S326" t="s">
        <v>840</v>
      </c>
      <c r="T326" s="9">
        <v>43037</v>
      </c>
      <c r="U326" s="9">
        <v>43039</v>
      </c>
      <c r="V326" s="12">
        <v>224</v>
      </c>
      <c r="W326" s="12">
        <v>35</v>
      </c>
      <c r="X326" s="17">
        <v>0.2</v>
      </c>
      <c r="Y326">
        <v>37.800000000000004</v>
      </c>
      <c r="Z326" s="12">
        <v>72.800000000000011</v>
      </c>
      <c r="AA326" s="12">
        <v>11.623529411764707</v>
      </c>
      <c r="AB326" s="12">
        <v>116.19999999999999</v>
      </c>
      <c r="AF326" s="18">
        <f t="shared" si="5"/>
        <v>0</v>
      </c>
    </row>
    <row r="327" spans="1:36" x14ac:dyDescent="0.25">
      <c r="J327">
        <v>40014</v>
      </c>
      <c r="K327" t="s">
        <v>38</v>
      </c>
      <c r="L327" t="s">
        <v>1122</v>
      </c>
      <c r="M327" t="s">
        <v>28</v>
      </c>
      <c r="N327" t="s">
        <v>895</v>
      </c>
      <c r="O327" s="14">
        <v>60313</v>
      </c>
      <c r="P327" t="s">
        <v>896</v>
      </c>
      <c r="Q327" s="15"/>
      <c r="R327" s="15" t="s">
        <v>849</v>
      </c>
      <c r="S327" s="5" t="s">
        <v>1124</v>
      </c>
      <c r="T327" s="6">
        <v>43003</v>
      </c>
      <c r="U327" s="6">
        <v>43008</v>
      </c>
      <c r="AC327" s="5" t="s">
        <v>1123</v>
      </c>
      <c r="AD327" s="5" t="s">
        <v>1123</v>
      </c>
      <c r="AE327" s="18">
        <v>-50</v>
      </c>
      <c r="AF327" s="18">
        <f t="shared" si="5"/>
        <v>-7.9831932773109244</v>
      </c>
      <c r="AG327" s="18">
        <v>50</v>
      </c>
      <c r="AH327" s="5" t="s">
        <v>1125</v>
      </c>
    </row>
    <row r="328" spans="1:36" x14ac:dyDescent="0.25">
      <c r="J328">
        <v>10076</v>
      </c>
      <c r="K328" t="s">
        <v>11</v>
      </c>
      <c r="L328" t="s">
        <v>28</v>
      </c>
      <c r="M328" t="s">
        <v>44</v>
      </c>
      <c r="N328" t="s">
        <v>912</v>
      </c>
      <c r="O328" s="14">
        <v>50672</v>
      </c>
      <c r="P328" t="s">
        <v>913</v>
      </c>
      <c r="Q328" s="15"/>
      <c r="R328" s="15" t="s">
        <v>849</v>
      </c>
      <c r="S328" s="5" t="s">
        <v>150</v>
      </c>
      <c r="T328" s="6">
        <v>43007</v>
      </c>
      <c r="U328" s="6">
        <v>43011</v>
      </c>
      <c r="AC328" s="5" t="s">
        <v>1123</v>
      </c>
      <c r="AD328" s="5" t="s">
        <v>1123</v>
      </c>
      <c r="AE328" s="18">
        <v>5</v>
      </c>
      <c r="AF328" s="18">
        <f t="shared" si="5"/>
        <v>0.79831932773109249</v>
      </c>
      <c r="AG328" s="18">
        <v>-5</v>
      </c>
      <c r="AH328" s="5" t="s">
        <v>1126</v>
      </c>
    </row>
    <row r="329" spans="1:36" x14ac:dyDescent="0.25">
      <c r="J329">
        <v>10090</v>
      </c>
      <c r="K329" t="s">
        <v>11</v>
      </c>
      <c r="L329" t="s">
        <v>66</v>
      </c>
      <c r="M329" t="s">
        <v>56</v>
      </c>
      <c r="N329" t="s">
        <v>1085</v>
      </c>
      <c r="O329" s="14" t="s">
        <v>1086</v>
      </c>
      <c r="P329" t="s">
        <v>1087</v>
      </c>
      <c r="Q329" s="15"/>
      <c r="R329" s="15" t="s">
        <v>849</v>
      </c>
      <c r="S329" s="5" t="s">
        <v>375</v>
      </c>
      <c r="T329" s="6">
        <v>43016</v>
      </c>
      <c r="U329" s="6">
        <v>43029</v>
      </c>
      <c r="AC329" s="5" t="s">
        <v>1123</v>
      </c>
      <c r="AD329" s="5" t="s">
        <v>1123</v>
      </c>
      <c r="AE329" s="18">
        <v>-50</v>
      </c>
      <c r="AF329" s="18">
        <f t="shared" si="5"/>
        <v>-7.9831932773109244</v>
      </c>
      <c r="AG329" s="18">
        <v>50</v>
      </c>
      <c r="AH329" s="5" t="s">
        <v>1127</v>
      </c>
    </row>
    <row r="330" spans="1:36" x14ac:dyDescent="0.25">
      <c r="J330">
        <v>50034</v>
      </c>
      <c r="K330" t="s">
        <v>12</v>
      </c>
      <c r="L330" t="s">
        <v>1128</v>
      </c>
      <c r="M330" t="s">
        <v>168</v>
      </c>
      <c r="N330" t="s">
        <v>916</v>
      </c>
      <c r="O330" s="14">
        <v>81927</v>
      </c>
      <c r="P330" t="s">
        <v>917</v>
      </c>
      <c r="Q330" s="15" t="s">
        <v>849</v>
      </c>
      <c r="R330" s="15"/>
      <c r="S330" s="5" t="s">
        <v>1129</v>
      </c>
      <c r="T330" s="5" t="s">
        <v>1129</v>
      </c>
      <c r="U330" s="5" t="s">
        <v>1129</v>
      </c>
      <c r="AC330" s="5" t="s">
        <v>1123</v>
      </c>
      <c r="AE330" s="18">
        <v>-30</v>
      </c>
      <c r="AF330" s="18">
        <f t="shared" si="5"/>
        <v>-4.7899159663865545</v>
      </c>
      <c r="AG330" s="5" t="s">
        <v>1129</v>
      </c>
      <c r="AH330" s="5" t="s">
        <v>1130</v>
      </c>
    </row>
    <row r="331" spans="1:36" x14ac:dyDescent="0.25">
      <c r="J331">
        <v>40005</v>
      </c>
      <c r="K331" t="s">
        <v>38</v>
      </c>
      <c r="L331" t="s">
        <v>191</v>
      </c>
      <c r="M331" t="s">
        <v>36</v>
      </c>
      <c r="N331" t="s">
        <v>976</v>
      </c>
      <c r="O331" s="14">
        <v>22763</v>
      </c>
      <c r="P331" t="s">
        <v>977</v>
      </c>
      <c r="Q331" s="15"/>
      <c r="R331" s="15" t="s">
        <v>849</v>
      </c>
      <c r="S331" s="5" t="s">
        <v>1131</v>
      </c>
      <c r="T331" s="6">
        <v>43004</v>
      </c>
      <c r="U331" s="6">
        <v>43006</v>
      </c>
      <c r="AC331" s="5" t="s">
        <v>1123</v>
      </c>
      <c r="AD331" s="5" t="s">
        <v>1123</v>
      </c>
      <c r="AE331" s="18">
        <v>-20</v>
      </c>
      <c r="AF331" s="18">
        <f t="shared" si="5"/>
        <v>-3.1932773109243699</v>
      </c>
      <c r="AG331" s="18">
        <v>20</v>
      </c>
      <c r="AH331" s="5" t="s">
        <v>1132</v>
      </c>
    </row>
    <row r="332" spans="1:36" x14ac:dyDescent="0.25">
      <c r="J332">
        <v>10075</v>
      </c>
      <c r="K332" t="s">
        <v>11</v>
      </c>
      <c r="L332" t="s">
        <v>214</v>
      </c>
      <c r="M332" t="s">
        <v>1027</v>
      </c>
      <c r="N332" t="s">
        <v>1028</v>
      </c>
      <c r="O332" s="14">
        <v>50670</v>
      </c>
      <c r="P332" t="s">
        <v>1029</v>
      </c>
      <c r="Q332" s="15"/>
      <c r="R332" s="15" t="s">
        <v>849</v>
      </c>
      <c r="S332" s="5" t="s">
        <v>1133</v>
      </c>
      <c r="T332" s="6">
        <v>43014</v>
      </c>
      <c r="U332" s="6">
        <v>43017</v>
      </c>
      <c r="AC332" s="5" t="s">
        <v>1123</v>
      </c>
      <c r="AD332" s="5" t="s">
        <v>1123</v>
      </c>
      <c r="AE332" s="18">
        <v>-15</v>
      </c>
      <c r="AF332" s="18">
        <f t="shared" si="5"/>
        <v>-2.3949579831932772</v>
      </c>
      <c r="AG332" s="18">
        <v>15</v>
      </c>
      <c r="AH332" s="5" t="s">
        <v>1134</v>
      </c>
    </row>
    <row r="333" spans="1:36" x14ac:dyDescent="0.25">
      <c r="J333">
        <v>30034</v>
      </c>
      <c r="K333" t="s">
        <v>15</v>
      </c>
      <c r="L333" t="s">
        <v>27</v>
      </c>
      <c r="M333" t="s">
        <v>161</v>
      </c>
      <c r="N333" t="s">
        <v>909</v>
      </c>
      <c r="O333" s="14" t="s">
        <v>910</v>
      </c>
      <c r="P333" t="s">
        <v>911</v>
      </c>
      <c r="Q333" s="15"/>
      <c r="R333" s="15" t="s">
        <v>849</v>
      </c>
      <c r="S333" s="5" t="s">
        <v>299</v>
      </c>
      <c r="T333" s="6">
        <v>43014</v>
      </c>
      <c r="U333" s="6">
        <v>43017</v>
      </c>
      <c r="AC333" s="5" t="s">
        <v>1123</v>
      </c>
      <c r="AD333" s="5" t="s">
        <v>1123</v>
      </c>
      <c r="AE333" s="18">
        <v>27.44</v>
      </c>
      <c r="AF333" s="18">
        <f t="shared" si="5"/>
        <v>4.381176470588235</v>
      </c>
      <c r="AG333" s="18">
        <v>-27.44</v>
      </c>
      <c r="AH333" s="5" t="s">
        <v>1135</v>
      </c>
    </row>
    <row r="334" spans="1:36" x14ac:dyDescent="0.25">
      <c r="J334"/>
      <c r="K334"/>
      <c r="M334"/>
    </row>
    <row r="336" spans="1:36" x14ac:dyDescent="0.25">
      <c r="AE336" s="6"/>
      <c r="AF336" s="6"/>
      <c r="AI336" s="18"/>
      <c r="AJ336" s="18"/>
    </row>
    <row r="337" spans="14:37" x14ac:dyDescent="0.25">
      <c r="AE337" s="6"/>
      <c r="AF337" s="6"/>
      <c r="AI337" s="18"/>
      <c r="AJ337" s="18"/>
    </row>
    <row r="338" spans="14:37" x14ac:dyDescent="0.25">
      <c r="AE338" s="6"/>
      <c r="AF338" s="6"/>
      <c r="AI338" s="18"/>
      <c r="AJ338" s="18"/>
    </row>
    <row r="339" spans="14:37" x14ac:dyDescent="0.25">
      <c r="AI339" s="18"/>
    </row>
    <row r="340" spans="14:37" x14ac:dyDescent="0.25">
      <c r="Y340" s="7"/>
      <c r="AE340" s="6"/>
      <c r="AF340" s="6"/>
      <c r="AI340" s="18"/>
      <c r="AJ340" s="18"/>
    </row>
    <row r="341" spans="14:37" x14ac:dyDescent="0.25">
      <c r="N341"/>
      <c r="Y341" s="7"/>
      <c r="AE341" s="6"/>
      <c r="AF341" s="6"/>
      <c r="AI341" s="18"/>
      <c r="AJ341" s="18"/>
    </row>
    <row r="342" spans="14:37" x14ac:dyDescent="0.25">
      <c r="Y342" s="7"/>
      <c r="AE342" s="6"/>
      <c r="AF342" s="6"/>
      <c r="AI342" s="18"/>
      <c r="AJ342" s="18"/>
    </row>
    <row r="343" spans="14:37" x14ac:dyDescent="0.25">
      <c r="Y343" s="7"/>
      <c r="AK343" s="19"/>
    </row>
    <row r="344" spans="14:37" x14ac:dyDescent="0.25">
      <c r="Y344" s="7"/>
    </row>
    <row r="345" spans="14:37" x14ac:dyDescent="0.25">
      <c r="Y345" s="7"/>
    </row>
    <row r="346" spans="14:37" x14ac:dyDescent="0.25">
      <c r="Y346" s="7"/>
    </row>
  </sheetData>
  <autoFilter ref="A1:AB326" xr:uid="{00000000-0009-0000-0000-000001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ieseArbeitsmappe.test1">
                <anchor moveWithCells="1" sizeWithCells="1">
                  <from>
                    <xdr:col>35</xdr:col>
                    <xdr:colOff>400050</xdr:colOff>
                    <xdr:row>2</xdr:row>
                    <xdr:rowOff>38100</xdr:rowOff>
                  </from>
                  <to>
                    <xdr:col>38</xdr:col>
                    <xdr:colOff>504825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Steuersheet</vt:lpstr>
      <vt:lpstr>Buchungen &amp; Einkünfte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Ritter</dc:creator>
  <cp:lastModifiedBy>Florian Bogenschütz</cp:lastModifiedBy>
  <dcterms:created xsi:type="dcterms:W3CDTF">2017-09-08T13:59:16Z</dcterms:created>
  <dcterms:modified xsi:type="dcterms:W3CDTF">2017-11-13T16:13:41Z</dcterms:modified>
</cp:coreProperties>
</file>